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y" sheetId="1" r:id="rId5"/>
    <sheet state="visible" name="Лист3" sheetId="2" r:id="rId6"/>
    <sheet state="visible" name="Лист2" sheetId="3" r:id="rId7"/>
    <sheet state="visible" name="Discount" sheetId="4" r:id="rId8"/>
  </sheets>
  <definedNames/>
  <calcPr/>
</workbook>
</file>

<file path=xl/sharedStrings.xml><?xml version="1.0" encoding="utf-8"?>
<sst xmlns="http://schemas.openxmlformats.org/spreadsheetml/2006/main" count="214" uniqueCount="185">
  <si>
    <t>No.</t>
  </si>
  <si>
    <t>Province</t>
  </si>
  <si>
    <t>&lt;5000</t>
  </si>
  <si>
    <t>&lt;10000</t>
  </si>
  <si>
    <t>&lt;25000</t>
  </si>
  <si>
    <t>&lt;50000</t>
  </si>
  <si>
    <t>&lt;75000</t>
  </si>
  <si>
    <t>&lt;100000</t>
  </si>
  <si>
    <t>6W</t>
  </si>
  <si>
    <t>&lt;150000</t>
  </si>
  <si>
    <t>&lt;200000</t>
  </si>
  <si>
    <t>&lt;250000</t>
  </si>
  <si>
    <t>&lt;300000</t>
  </si>
  <si>
    <t>อำนาจเจริญ</t>
  </si>
  <si>
    <t>Amnat Charoen</t>
  </si>
  <si>
    <t>อ่างทอง</t>
  </si>
  <si>
    <t>Ang Thong</t>
  </si>
  <si>
    <t>กรุงเทพมหานคร</t>
  </si>
  <si>
    <t>Bangkok</t>
  </si>
  <si>
    <t>บึงกาฬ</t>
  </si>
  <si>
    <t>Bueng Kan</t>
  </si>
  <si>
    <t>บุรีรัมย์</t>
  </si>
  <si>
    <t>Buriram</t>
  </si>
  <si>
    <t>ฉะเชิงเทรา</t>
  </si>
  <si>
    <t>Chachoengsao</t>
  </si>
  <si>
    <t>ชัยนาท</t>
  </si>
  <si>
    <t>Chai Nat</t>
  </si>
  <si>
    <t>จันทบุรี</t>
  </si>
  <si>
    <t>Chanthaburi</t>
  </si>
  <si>
    <t>ชัยภูมิ</t>
  </si>
  <si>
    <t>Chayaphum</t>
  </si>
  <si>
    <t>เชียงใหม่</t>
  </si>
  <si>
    <t>Chiang Mai</t>
  </si>
  <si>
    <t>แม่สาย</t>
  </si>
  <si>
    <t>Chiang Rai</t>
  </si>
  <si>
    <t>เชียงราย</t>
  </si>
  <si>
    <t>พัทยา</t>
  </si>
  <si>
    <t>Chon Buri</t>
  </si>
  <si>
    <t>ชลบุรี</t>
  </si>
  <si>
    <t>ชุมพร</t>
  </si>
  <si>
    <t>Chumphon</t>
  </si>
  <si>
    <t>กาฬสินธุ์</t>
  </si>
  <si>
    <t>Kalasin</t>
  </si>
  <si>
    <t>กำแพงเพชร</t>
  </si>
  <si>
    <t>Kamphaeng Phet</t>
  </si>
  <si>
    <t>กาญจนบุรี</t>
  </si>
  <si>
    <t>Kanchanaburi</t>
  </si>
  <si>
    <t>บ้านไผ่</t>
  </si>
  <si>
    <t>Khon Kaen</t>
  </si>
  <si>
    <t>พล</t>
  </si>
  <si>
    <t>ขอนแก่น</t>
  </si>
  <si>
    <t>กระบี่</t>
  </si>
  <si>
    <t>Krabi</t>
  </si>
  <si>
    <t>ลำปาง</t>
  </si>
  <si>
    <t>Lampang</t>
  </si>
  <si>
    <t>ลำพูน</t>
  </si>
  <si>
    <t>Lamphun</t>
  </si>
  <si>
    <t>เลย</t>
  </si>
  <si>
    <t>Loei</t>
  </si>
  <si>
    <t>ลพบุรี</t>
  </si>
  <si>
    <t>Lopburi</t>
  </si>
  <si>
    <t>แม่ฮ่องสอน</t>
  </si>
  <si>
    <t>Mae Hong Son</t>
  </si>
  <si>
    <t>มหาสารคาม</t>
  </si>
  <si>
    <t>Maha Sarakham</t>
  </si>
  <si>
    <t>มุกดาหาร</t>
  </si>
  <si>
    <t>Mukdahan</t>
  </si>
  <si>
    <t>นครนายก</t>
  </si>
  <si>
    <t>Nakhon Nayok</t>
  </si>
  <si>
    <t>นครปฐม</t>
  </si>
  <si>
    <t>Nakhon Pathom</t>
  </si>
  <si>
    <t>นครพนม</t>
  </si>
  <si>
    <t>Nakhon Phanom</t>
  </si>
  <si>
    <t>ปากช่อง</t>
  </si>
  <si>
    <t>Nakhon Ratchasima</t>
  </si>
  <si>
    <t>นครราชสีมา</t>
  </si>
  <si>
    <t>นครสวรรค์</t>
  </si>
  <si>
    <t>Nakhon Sawan</t>
  </si>
  <si>
    <t>นครศรีธรรมราช</t>
  </si>
  <si>
    <t>Nakhon Si Thammarat</t>
  </si>
  <si>
    <t>น่าน</t>
  </si>
  <si>
    <t>Nan</t>
  </si>
  <si>
    <t>นราธิวาส</t>
  </si>
  <si>
    <t>Narathiwat</t>
  </si>
  <si>
    <t>หนองบัวลำภู</t>
  </si>
  <si>
    <t>Nong Bua Lam Phu</t>
  </si>
  <si>
    <t>หนองคาย</t>
  </si>
  <si>
    <t>Nong Khai</t>
  </si>
  <si>
    <t>นนทบุรี</t>
  </si>
  <si>
    <t>Nonthaburi</t>
  </si>
  <si>
    <t>ปทุมธานี</t>
  </si>
  <si>
    <t>Pathum Thani</t>
  </si>
  <si>
    <t>ปัตตานี</t>
  </si>
  <si>
    <t>Pattani</t>
  </si>
  <si>
    <t>พังงา</t>
  </si>
  <si>
    <t>Phang-Nga</t>
  </si>
  <si>
    <t>พัทลุง</t>
  </si>
  <si>
    <t>Phatthalung</t>
  </si>
  <si>
    <t>พะเยา</t>
  </si>
  <si>
    <t>Phayao</t>
  </si>
  <si>
    <t>เพชรบูรณ์</t>
  </si>
  <si>
    <t>Phetchabun</t>
  </si>
  <si>
    <t>เพชรบุรี</t>
  </si>
  <si>
    <t>Phetchaburi</t>
  </si>
  <si>
    <t>พิจิตร</t>
  </si>
  <si>
    <t>Phichit</t>
  </si>
  <si>
    <t>พิษณุโลก</t>
  </si>
  <si>
    <t>Phitsanulok</t>
  </si>
  <si>
    <t>พระนครศรีอยุธยา</t>
  </si>
  <si>
    <t>Phra Nakhon Si Ayutthaya</t>
  </si>
  <si>
    <t>แพร่</t>
  </si>
  <si>
    <t>Phrae</t>
  </si>
  <si>
    <t>ภูเก็ต</t>
  </si>
  <si>
    <t>Phuket</t>
  </si>
  <si>
    <t>ปราจีนบุรี</t>
  </si>
  <si>
    <t>Prachin Buri</t>
  </si>
  <si>
    <t>หัวหิน</t>
  </si>
  <si>
    <t>Prachuap Khiri Khan</t>
  </si>
  <si>
    <t>ประจวบคีรีขันธ์</t>
  </si>
  <si>
    <t>ระนอง</t>
  </si>
  <si>
    <t>Ranong</t>
  </si>
  <si>
    <t>ราชบุรี</t>
  </si>
  <si>
    <t>Ratchaburi</t>
  </si>
  <si>
    <t>ระยอง</t>
  </si>
  <si>
    <t>Rayong</t>
  </si>
  <si>
    <t>ร้อยเอ็ด</t>
  </si>
  <si>
    <t>Roi Et</t>
  </si>
  <si>
    <t>สระแก้ว</t>
  </si>
  <si>
    <t>Sa Kaeo</t>
  </si>
  <si>
    <t>สกลนคร</t>
  </si>
  <si>
    <t>Sakon Nakhon</t>
  </si>
  <si>
    <t>สมุทรปราการ</t>
  </si>
  <si>
    <t>Samut Prakan</t>
  </si>
  <si>
    <t>สมุทรสาคร</t>
  </si>
  <si>
    <t>Samut Sakhon</t>
  </si>
  <si>
    <t>สมุทรสงคราม</t>
  </si>
  <si>
    <t>Samut Songkhram</t>
  </si>
  <si>
    <t>สระบุรี</t>
  </si>
  <si>
    <t>Saraburi</t>
  </si>
  <si>
    <t>สตูล</t>
  </si>
  <si>
    <t>Satun</t>
  </si>
  <si>
    <t>ศรีสะเกษ</t>
  </si>
  <si>
    <t>Si Sa Ket</t>
  </si>
  <si>
    <t>สิงห์บุรี</t>
  </si>
  <si>
    <t>Sing Buri</t>
  </si>
  <si>
    <t>หาดใหญ่</t>
  </si>
  <si>
    <t>Songkhla</t>
  </si>
  <si>
    <t>สงขลา</t>
  </si>
  <si>
    <t>สุโขทัย</t>
  </si>
  <si>
    <t>Sukhothai</t>
  </si>
  <si>
    <t>สุพรรณบุรี</t>
  </si>
  <si>
    <t>Suphan Buri</t>
  </si>
  <si>
    <t>สุราษฎร์ธานี</t>
  </si>
  <si>
    <t>Surat Thani</t>
  </si>
  <si>
    <t>สุรินทร์</t>
  </si>
  <si>
    <t>Surin</t>
  </si>
  <si>
    <t>แม่สอด</t>
  </si>
  <si>
    <t>Tak</t>
  </si>
  <si>
    <t>ตาก</t>
  </si>
  <si>
    <t>ตรัง</t>
  </si>
  <si>
    <t>Trang</t>
  </si>
  <si>
    <t>คลองใหญ่</t>
  </si>
  <si>
    <t>Trat</t>
  </si>
  <si>
    <t>ตราด</t>
  </si>
  <si>
    <t>อุบลช่องเม็ก</t>
  </si>
  <si>
    <t>Ubon Ratchathani</t>
  </si>
  <si>
    <t>อุบลราชธานี</t>
  </si>
  <si>
    <t>อุดรธานี</t>
  </si>
  <si>
    <t>Udon Thani</t>
  </si>
  <si>
    <t>อุทัยธานี</t>
  </si>
  <si>
    <t>Uthai Thani</t>
  </si>
  <si>
    <t>อุตรดิตถ์</t>
  </si>
  <si>
    <t>Uttaradit</t>
  </si>
  <si>
    <t>ยะลา</t>
  </si>
  <si>
    <t>Yala</t>
  </si>
  <si>
    <t>ยโสธร</t>
  </si>
  <si>
    <t>Yasothon</t>
  </si>
  <si>
    <t>So, in this case need to write to user: "Order of such volume we will need to deliver by 6-wheels truck only due to weight limitations.</t>
  </si>
  <si>
    <t>Kindly contact our sales representative, to find and calculate cheapest delivery option for your case"</t>
  </si>
  <si>
    <t>&gt;300000</t>
  </si>
  <si>
    <t>Korat</t>
  </si>
  <si>
    <t>Udon</t>
  </si>
  <si>
    <t>Lmapang</t>
  </si>
  <si>
    <t>Ubon</t>
  </si>
  <si>
    <t>Chiang mai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</si>
</sst>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9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D0CECE"/>
        <bgColor rgb="FFD0CECE"/>
      </patternFill>
    </fill>
    <fill>
      <patternFill patternType="solid">
        <fgColor rgb="FFBFBFBF"/>
        <bgColor rgb="FFBFBFBF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  <fill>
      <patternFill patternType="solid">
        <fgColor rgb="FFED7D31"/>
        <bgColor rgb="FFED7D31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3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2" fontId="4" numFmtId="3" xfId="0" applyAlignment="1" applyFill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6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1" fillId="3" fontId="5" numFmtId="0" xfId="0" applyBorder="1" applyFill="1" applyFont="1"/>
    <xf borderId="0" fillId="3" fontId="4" numFmtId="3" xfId="0" applyAlignment="1" applyFont="1" applyNumberFormat="1">
      <alignment horizontal="right" vertical="bottom"/>
    </xf>
    <xf borderId="0" fillId="3" fontId="4" numFmtId="3" xfId="0" applyAlignment="1" applyFont="1" applyNumberFormat="1">
      <alignment horizontal="right" readingOrder="0" vertical="bottom"/>
    </xf>
    <xf borderId="0" fillId="4" fontId="4" numFmtId="3" xfId="0" applyAlignment="1" applyFill="1" applyFont="1" applyNumberFormat="1">
      <alignment horizontal="right" vertical="bottom"/>
    </xf>
    <xf borderId="0" fillId="3" fontId="1" numFmtId="3" xfId="0" applyAlignment="1" applyFont="1" applyNumberFormat="1">
      <alignment horizontal="right" vertical="bottom"/>
    </xf>
    <xf borderId="0" fillId="4" fontId="1" numFmtId="3" xfId="0" applyAlignment="1" applyFont="1" applyNumberFormat="1">
      <alignment horizontal="right" vertical="bottom"/>
    </xf>
    <xf borderId="0" fillId="0" fontId="4" numFmtId="0" xfId="0" applyAlignment="1" applyFont="1">
      <alignment shrinkToFit="0" vertical="bottom" wrapText="0"/>
    </xf>
    <xf borderId="0" fillId="5" fontId="4" numFmtId="3" xfId="0" applyAlignment="1" applyFill="1" applyFont="1" applyNumberFormat="1">
      <alignment horizontal="right" vertical="bottom"/>
    </xf>
    <xf borderId="0" fillId="6" fontId="4" numFmtId="3" xfId="0" applyAlignment="1" applyFill="1" applyFont="1" applyNumberFormat="1">
      <alignment horizontal="right" vertical="bottom"/>
    </xf>
    <xf borderId="0" fillId="7" fontId="4" numFmtId="3" xfId="0" applyAlignment="1" applyFill="1" applyFont="1" applyNumberFormat="1">
      <alignment horizontal="right" vertical="bottom"/>
    </xf>
    <xf borderId="0" fillId="0" fontId="4" numFmtId="0" xfId="0" applyFont="1"/>
    <xf borderId="0" fillId="8" fontId="4" numFmtId="3" xfId="0" applyAlignment="1" applyFill="1" applyFont="1" applyNumberFormat="1">
      <alignment horizontal="right" vertical="bottom"/>
    </xf>
    <xf borderId="0" fillId="0" fontId="1" numFmtId="3" xfId="0" applyAlignment="1" applyFont="1" applyNumberFormat="1">
      <alignment horizontal="right" readingOrder="0" vertical="bottom"/>
    </xf>
    <xf borderId="0" fillId="0" fontId="4" numFmtId="3" xfId="0" applyAlignment="1" applyFont="1" applyNumberFormat="1">
      <alignment horizontal="right" readingOrder="0" vertical="bottom"/>
    </xf>
    <xf borderId="0" fillId="0" fontId="6" numFmtId="3" xfId="0" applyAlignment="1" applyFont="1" applyNumberFormat="1">
      <alignment horizontal="right" readingOrder="0" vertical="bottom"/>
    </xf>
    <xf borderId="0" fillId="9" fontId="4" numFmtId="3" xfId="0" applyAlignment="1" applyFill="1" applyFont="1" applyNumberFormat="1">
      <alignment horizontal="right" vertical="bottom"/>
    </xf>
    <xf borderId="0" fillId="9" fontId="1" numFmtId="3" xfId="0" applyAlignment="1" applyFont="1" applyNumberFormat="1">
      <alignment horizontal="right" vertical="bottom"/>
    </xf>
    <xf borderId="0" fillId="10" fontId="4" numFmtId="3" xfId="0" applyAlignment="1" applyFill="1" applyFont="1" applyNumberFormat="1">
      <alignment horizontal="right" vertical="bottom"/>
    </xf>
    <xf borderId="1" fillId="9" fontId="5" numFmtId="0" xfId="0" applyBorder="1" applyFont="1"/>
    <xf borderId="0" fillId="4" fontId="4" numFmtId="3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3" xfId="0" applyFont="1" applyNumberFormat="1"/>
    <xf borderId="0" fillId="10" fontId="1" numFmtId="3" xfId="0" applyAlignment="1" applyFont="1" applyNumberFormat="1">
      <alignment vertical="bottom"/>
    </xf>
    <xf borderId="0" fillId="0" fontId="1" numFmtId="3" xfId="0" applyAlignment="1" applyFont="1" applyNumberFormat="1">
      <alignment shrinkToFit="0" vertical="bottom" wrapText="0"/>
    </xf>
    <xf borderId="1" fillId="9" fontId="1" numFmtId="0" xfId="0" applyBorder="1" applyFont="1"/>
    <xf borderId="1" fillId="2" fontId="4" numFmtId="0" xfId="0" applyBorder="1" applyFont="1"/>
    <xf borderId="1" fillId="8" fontId="4" numFmtId="0" xfId="0" applyBorder="1" applyFont="1"/>
    <xf borderId="1" fillId="11" fontId="1" numFmtId="0" xfId="0" applyBorder="1" applyFill="1" applyFont="1"/>
    <xf borderId="1" fillId="5" fontId="4" numFmtId="0" xfId="0" applyBorder="1" applyFont="1"/>
    <xf borderId="1" fillId="12" fontId="1" numFmtId="0" xfId="0" applyBorder="1" applyFill="1" applyFont="1"/>
    <xf borderId="1" fillId="6" fontId="4" numFmtId="0" xfId="0" applyBorder="1" applyFont="1"/>
    <xf borderId="1" fillId="7" fontId="4" numFmtId="0" xfId="0" applyBorder="1" applyFont="1"/>
    <xf borderId="1" fillId="9" fontId="4" numFmtId="0" xfId="0" applyBorder="1" applyFont="1"/>
    <xf borderId="1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71"/>
    <col customWidth="1" min="3" max="4" width="21.14"/>
    <col customWidth="1" min="5" max="10" width="9.71"/>
    <col customWidth="1" min="11" max="11" width="14.14"/>
    <col customWidth="1" min="12" max="15" width="11.29"/>
    <col customWidth="1" hidden="1" min="16" max="21" width="11.29"/>
  </cols>
  <sheetData>
    <row r="1">
      <c r="A1" s="1" t="s">
        <v>0</v>
      </c>
      <c r="B1" s="2" t="s">
        <v>1</v>
      </c>
      <c r="D1" s="3"/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4" t="s">
        <v>7</v>
      </c>
      <c r="K1" s="3" t="s">
        <v>8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3" t="s">
        <v>9</v>
      </c>
      <c r="S1" s="3" t="s">
        <v>10</v>
      </c>
      <c r="T1" s="3" t="s">
        <v>11</v>
      </c>
      <c r="U1" s="3" t="s">
        <v>12</v>
      </c>
    </row>
    <row r="2">
      <c r="A2" s="5">
        <v>1.0</v>
      </c>
      <c r="B2" s="6" t="s">
        <v>13</v>
      </c>
      <c r="C2" s="7" t="s">
        <v>14</v>
      </c>
      <c r="D2" s="8">
        <v>6500.0</v>
      </c>
      <c r="E2" s="9">
        <v>6500.0</v>
      </c>
      <c r="F2" s="9">
        <v>6500.0</v>
      </c>
      <c r="G2" s="9">
        <v>6000.0</v>
      </c>
      <c r="H2" s="9">
        <v>5135.0</v>
      </c>
      <c r="I2" s="9">
        <v>3900.0</v>
      </c>
      <c r="J2" s="10">
        <v>2795.0</v>
      </c>
      <c r="K2" s="8">
        <v>13000.0</v>
      </c>
      <c r="L2" s="11">
        <v>13000.0</v>
      </c>
      <c r="M2" s="11">
        <v>13000.0</v>
      </c>
      <c r="N2" s="11">
        <v>13000.0</v>
      </c>
      <c r="O2" s="11">
        <v>12220.0</v>
      </c>
      <c r="P2" s="11">
        <v>11700.0</v>
      </c>
      <c r="Q2" s="11">
        <v>10140.0</v>
      </c>
      <c r="R2" s="11">
        <v>7930.0</v>
      </c>
      <c r="S2" s="11">
        <v>6240.0</v>
      </c>
      <c r="T2" s="11">
        <v>5200.0</v>
      </c>
      <c r="U2" s="11">
        <v>0.0</v>
      </c>
    </row>
    <row r="3">
      <c r="A3" s="5">
        <v>2.0</v>
      </c>
      <c r="B3" s="6" t="s">
        <v>15</v>
      </c>
      <c r="C3" s="12" t="s">
        <v>16</v>
      </c>
      <c r="D3" s="13">
        <v>2000.0</v>
      </c>
      <c r="E3" s="14">
        <v>2000.0</v>
      </c>
      <c r="F3" s="13">
        <v>1200.0</v>
      </c>
      <c r="G3" s="13">
        <v>800.0</v>
      </c>
      <c r="H3" s="15">
        <v>400.0</v>
      </c>
      <c r="I3" s="9">
        <v>0.0</v>
      </c>
      <c r="J3" s="10">
        <v>0.0</v>
      </c>
      <c r="K3" s="13">
        <v>4000.0</v>
      </c>
      <c r="L3" s="16">
        <v>3500.0</v>
      </c>
      <c r="M3" s="16">
        <v>3500.0</v>
      </c>
      <c r="N3" s="16">
        <v>2500.0</v>
      </c>
      <c r="O3" s="16">
        <v>1500.0</v>
      </c>
      <c r="P3" s="17">
        <v>1000.0</v>
      </c>
      <c r="Q3" s="11">
        <v>0.0</v>
      </c>
      <c r="R3" s="11">
        <v>0.0</v>
      </c>
      <c r="S3" s="11">
        <v>0.0</v>
      </c>
      <c r="T3" s="11">
        <v>0.0</v>
      </c>
      <c r="U3" s="11">
        <v>0.0</v>
      </c>
    </row>
    <row r="4">
      <c r="A4" s="5">
        <v>3.0</v>
      </c>
      <c r="B4" s="18" t="s">
        <v>17</v>
      </c>
      <c r="C4" s="12" t="s">
        <v>18</v>
      </c>
      <c r="D4" s="13">
        <v>1500.0</v>
      </c>
      <c r="E4" s="13">
        <v>500.0</v>
      </c>
      <c r="F4" s="13">
        <v>300.0</v>
      </c>
      <c r="G4" s="9">
        <v>0.0</v>
      </c>
      <c r="H4" s="9">
        <v>0.0</v>
      </c>
      <c r="I4" s="9">
        <v>0.0</v>
      </c>
      <c r="J4" s="10">
        <v>0.0</v>
      </c>
      <c r="K4" s="13">
        <v>3500.0</v>
      </c>
      <c r="L4" s="16">
        <v>1000.0</v>
      </c>
      <c r="M4" s="16">
        <v>800.0</v>
      </c>
      <c r="N4" s="16">
        <v>500.0</v>
      </c>
      <c r="O4" s="11">
        <v>0.0</v>
      </c>
      <c r="P4" s="11">
        <v>0.0</v>
      </c>
      <c r="Q4" s="11">
        <v>0.0</v>
      </c>
      <c r="R4" s="11">
        <v>0.0</v>
      </c>
      <c r="S4" s="11">
        <v>0.0</v>
      </c>
      <c r="T4" s="11">
        <v>0.0</v>
      </c>
      <c r="U4" s="11">
        <v>0.0</v>
      </c>
    </row>
    <row r="5">
      <c r="A5" s="5">
        <v>4.0</v>
      </c>
      <c r="B5" s="6" t="s">
        <v>19</v>
      </c>
      <c r="C5" s="7" t="s">
        <v>20</v>
      </c>
      <c r="D5" s="19">
        <v>8000.0</v>
      </c>
      <c r="E5" s="9">
        <v>8000.0</v>
      </c>
      <c r="F5" s="9">
        <v>8000.0</v>
      </c>
      <c r="G5" s="9">
        <v>7500.0</v>
      </c>
      <c r="H5" s="9">
        <v>6560.0</v>
      </c>
      <c r="I5" s="9">
        <v>5040.0</v>
      </c>
      <c r="J5" s="10">
        <v>3920.0</v>
      </c>
      <c r="K5" s="19">
        <v>16000.0</v>
      </c>
      <c r="L5" s="11">
        <v>16000.0</v>
      </c>
      <c r="M5" s="11">
        <v>16000.0</v>
      </c>
      <c r="N5" s="11">
        <v>16000.0</v>
      </c>
      <c r="O5" s="11">
        <v>16000.0</v>
      </c>
      <c r="P5" s="11">
        <v>16000.0</v>
      </c>
      <c r="Q5" s="11">
        <v>1440.0</v>
      </c>
      <c r="R5" s="11">
        <v>10720.0</v>
      </c>
      <c r="S5" s="11">
        <v>10240.0</v>
      </c>
      <c r="T5" s="11">
        <v>8320.0</v>
      </c>
      <c r="U5" s="11">
        <v>0.0</v>
      </c>
    </row>
    <row r="6">
      <c r="A6" s="5">
        <v>5.0</v>
      </c>
      <c r="B6" s="6" t="s">
        <v>21</v>
      </c>
      <c r="C6" s="7" t="s">
        <v>22</v>
      </c>
      <c r="D6" s="20">
        <v>4000.0</v>
      </c>
      <c r="E6" s="9">
        <v>4000.0</v>
      </c>
      <c r="F6" s="9">
        <v>4000.0</v>
      </c>
      <c r="G6" s="9">
        <v>3500.0</v>
      </c>
      <c r="H6" s="9">
        <v>2760.0</v>
      </c>
      <c r="I6" s="9">
        <v>0.0</v>
      </c>
      <c r="J6" s="10">
        <v>0.0</v>
      </c>
      <c r="K6" s="20">
        <v>9500.0</v>
      </c>
      <c r="L6" s="11">
        <v>9500.0</v>
      </c>
      <c r="M6" s="11">
        <v>9500.0</v>
      </c>
      <c r="N6" s="11">
        <v>9500.0</v>
      </c>
      <c r="O6" s="11">
        <v>8265.0</v>
      </c>
      <c r="P6" s="11">
        <v>7220.0</v>
      </c>
      <c r="Q6" s="11">
        <v>6080.0</v>
      </c>
      <c r="R6" s="11">
        <v>4560.0</v>
      </c>
      <c r="S6" s="11">
        <v>0.0</v>
      </c>
      <c r="T6" s="11">
        <v>0.0</v>
      </c>
      <c r="U6" s="11">
        <v>0.0</v>
      </c>
    </row>
    <row r="7">
      <c r="A7" s="5">
        <v>6.0</v>
      </c>
      <c r="B7" s="6" t="s">
        <v>23</v>
      </c>
      <c r="C7" s="12" t="s">
        <v>24</v>
      </c>
      <c r="D7" s="13">
        <v>2000.0</v>
      </c>
      <c r="E7" s="14">
        <v>2000.0</v>
      </c>
      <c r="F7" s="13">
        <v>1200.0</v>
      </c>
      <c r="G7" s="13">
        <v>800.0</v>
      </c>
      <c r="H7" s="15">
        <v>400.0</v>
      </c>
      <c r="I7" s="9">
        <v>0.0</v>
      </c>
      <c r="J7" s="10">
        <v>0.0</v>
      </c>
      <c r="K7" s="13">
        <v>4000.0</v>
      </c>
      <c r="L7" s="16">
        <v>3500.0</v>
      </c>
      <c r="M7" s="16">
        <v>3500.0</v>
      </c>
      <c r="N7" s="16">
        <v>2500.0</v>
      </c>
      <c r="O7" s="16">
        <v>1500.0</v>
      </c>
      <c r="P7" s="17">
        <v>1000.0</v>
      </c>
      <c r="Q7" s="11">
        <v>0.0</v>
      </c>
      <c r="R7" s="11">
        <v>0.0</v>
      </c>
      <c r="S7" s="11">
        <v>0.0</v>
      </c>
      <c r="T7" s="11">
        <v>0.0</v>
      </c>
      <c r="U7" s="11">
        <v>0.0</v>
      </c>
    </row>
    <row r="8">
      <c r="A8" s="5">
        <v>7.0</v>
      </c>
      <c r="B8" s="6" t="s">
        <v>25</v>
      </c>
      <c r="C8" s="7" t="s">
        <v>26</v>
      </c>
      <c r="D8" s="21">
        <v>2500.0</v>
      </c>
      <c r="E8" s="9">
        <v>2500.0</v>
      </c>
      <c r="F8" s="9">
        <v>2500.0</v>
      </c>
      <c r="G8" s="9">
        <v>2000.0</v>
      </c>
      <c r="H8" s="9">
        <v>1500.0</v>
      </c>
      <c r="I8" s="9">
        <v>0.0</v>
      </c>
      <c r="J8" s="10">
        <v>0.0</v>
      </c>
      <c r="K8" s="21">
        <v>6000.0</v>
      </c>
      <c r="L8" s="11">
        <v>6000.0</v>
      </c>
      <c r="M8" s="11">
        <v>6000.0</v>
      </c>
      <c r="N8" s="11">
        <v>5200.0</v>
      </c>
      <c r="O8" s="11">
        <v>4800.0</v>
      </c>
      <c r="P8" s="11">
        <v>3600.0</v>
      </c>
      <c r="Q8" s="11">
        <v>2400.0</v>
      </c>
      <c r="R8" s="11">
        <v>0.0</v>
      </c>
      <c r="S8" s="11">
        <v>0.0</v>
      </c>
      <c r="T8" s="11">
        <v>0.0</v>
      </c>
      <c r="U8" s="11">
        <v>0.0</v>
      </c>
    </row>
    <row r="9">
      <c r="A9" s="5">
        <v>8.0</v>
      </c>
      <c r="B9" s="6" t="s">
        <v>27</v>
      </c>
      <c r="C9" s="12" t="s">
        <v>28</v>
      </c>
      <c r="D9" s="13">
        <v>1500.0</v>
      </c>
      <c r="E9" s="13">
        <v>700.0</v>
      </c>
      <c r="F9" s="13">
        <v>500.0</v>
      </c>
      <c r="G9" s="9">
        <v>0.0</v>
      </c>
      <c r="H9" s="9">
        <v>0.0</v>
      </c>
      <c r="I9" s="9">
        <v>0.0</v>
      </c>
      <c r="J9" s="10">
        <v>0.0</v>
      </c>
      <c r="K9" s="13">
        <v>3000.0</v>
      </c>
      <c r="L9" s="16">
        <v>2000.0</v>
      </c>
      <c r="M9" s="16">
        <v>1500.0</v>
      </c>
      <c r="N9" s="16">
        <v>1000.0</v>
      </c>
      <c r="O9" s="11">
        <v>0.0</v>
      </c>
      <c r="P9" s="11">
        <v>0.0</v>
      </c>
      <c r="Q9" s="11">
        <v>0.0</v>
      </c>
      <c r="R9" s="11">
        <v>0.0</v>
      </c>
      <c r="S9" s="11">
        <v>0.0</v>
      </c>
      <c r="T9" s="11">
        <v>0.0</v>
      </c>
      <c r="U9" s="11">
        <v>0.0</v>
      </c>
    </row>
    <row r="10">
      <c r="A10" s="5">
        <v>9.0</v>
      </c>
      <c r="B10" s="6" t="s">
        <v>29</v>
      </c>
      <c r="C10" s="7" t="s">
        <v>30</v>
      </c>
      <c r="D10" s="20">
        <v>3500.0</v>
      </c>
      <c r="E10" s="9">
        <v>3500.0</v>
      </c>
      <c r="F10" s="9">
        <v>3500.0</v>
      </c>
      <c r="G10" s="9">
        <v>3000.0</v>
      </c>
      <c r="H10" s="9">
        <v>2310.0</v>
      </c>
      <c r="I10" s="9">
        <v>0.0</v>
      </c>
      <c r="J10" s="10">
        <v>0.0</v>
      </c>
      <c r="K10" s="20">
        <v>8500.0</v>
      </c>
      <c r="L10" s="11">
        <v>8500.0</v>
      </c>
      <c r="M10" s="11">
        <v>8500.0</v>
      </c>
      <c r="N10" s="11">
        <v>8000.0</v>
      </c>
      <c r="O10" s="11">
        <v>7225.0</v>
      </c>
      <c r="P10" s="11">
        <v>6120.0</v>
      </c>
      <c r="Q10" s="11">
        <v>5100.0</v>
      </c>
      <c r="R10" s="11">
        <v>3740.0</v>
      </c>
      <c r="S10" s="11">
        <v>0.0</v>
      </c>
      <c r="T10" s="11">
        <v>0.0</v>
      </c>
      <c r="U10" s="11">
        <v>0.0</v>
      </c>
    </row>
    <row r="11">
      <c r="A11" s="5">
        <v>10.0</v>
      </c>
      <c r="B11" s="6" t="s">
        <v>31</v>
      </c>
      <c r="C11" s="7" t="s">
        <v>32</v>
      </c>
      <c r="D11" s="19">
        <v>7500.0</v>
      </c>
      <c r="E11" s="9">
        <v>7500.0</v>
      </c>
      <c r="F11" s="9">
        <v>7500.0</v>
      </c>
      <c r="G11" s="9">
        <v>7000.0</v>
      </c>
      <c r="H11" s="9">
        <v>6075.0</v>
      </c>
      <c r="I11" s="9">
        <v>4650.0</v>
      </c>
      <c r="J11" s="10">
        <v>3525.0</v>
      </c>
      <c r="K11" s="19">
        <v>15000.0</v>
      </c>
      <c r="L11" s="11">
        <v>15000.0</v>
      </c>
      <c r="M11" s="11">
        <v>15000.0</v>
      </c>
      <c r="N11" s="11">
        <v>15000.0</v>
      </c>
      <c r="O11" s="11">
        <v>14700.0</v>
      </c>
      <c r="P11" s="11">
        <v>14700.0</v>
      </c>
      <c r="Q11" s="11">
        <v>12900.0</v>
      </c>
      <c r="R11" s="11">
        <v>9750.0</v>
      </c>
      <c r="S11" s="11">
        <v>9000.0</v>
      </c>
      <c r="T11" s="11">
        <v>7200.0</v>
      </c>
      <c r="U11" s="11">
        <v>0.0</v>
      </c>
    </row>
    <row r="12">
      <c r="A12" s="5">
        <v>11.0</v>
      </c>
      <c r="B12" s="22" t="s">
        <v>33</v>
      </c>
      <c r="C12" s="7" t="s">
        <v>34</v>
      </c>
      <c r="D12" s="19">
        <v>9000.0</v>
      </c>
      <c r="E12" s="9">
        <v>9000.0</v>
      </c>
      <c r="F12" s="9">
        <v>9000.0</v>
      </c>
      <c r="G12" s="9">
        <v>8500.0</v>
      </c>
      <c r="H12" s="9">
        <v>7560.0</v>
      </c>
      <c r="I12" s="9">
        <v>5850.0</v>
      </c>
      <c r="J12" s="10">
        <v>4770.0</v>
      </c>
      <c r="K12" s="23">
        <v>19000.0</v>
      </c>
      <c r="L12" s="11">
        <v>19000.0</v>
      </c>
      <c r="M12" s="11">
        <v>19000.0</v>
      </c>
      <c r="N12" s="11">
        <v>19000.0</v>
      </c>
      <c r="O12" s="11">
        <v>19000.0</v>
      </c>
      <c r="P12" s="11">
        <v>19000.0</v>
      </c>
      <c r="Q12" s="11">
        <v>18050.0</v>
      </c>
      <c r="R12" s="11">
        <v>14440.0</v>
      </c>
      <c r="S12" s="11">
        <v>14440.0</v>
      </c>
      <c r="T12" s="11">
        <v>11400.0</v>
      </c>
      <c r="U12" s="11">
        <v>7600.0</v>
      </c>
    </row>
    <row r="13">
      <c r="A13" s="5">
        <v>12.0</v>
      </c>
      <c r="B13" s="6" t="s">
        <v>35</v>
      </c>
      <c r="C13" s="7" t="s">
        <v>34</v>
      </c>
      <c r="D13" s="19">
        <v>8000.0</v>
      </c>
      <c r="E13" s="9">
        <v>8000.0</v>
      </c>
      <c r="F13" s="9">
        <v>8000.0</v>
      </c>
      <c r="G13" s="9">
        <v>7500.0</v>
      </c>
      <c r="H13" s="9">
        <v>6560.0</v>
      </c>
      <c r="I13" s="9">
        <v>5040.0</v>
      </c>
      <c r="J13" s="10">
        <v>3920.0</v>
      </c>
      <c r="K13" s="19">
        <v>18000.0</v>
      </c>
      <c r="L13" s="11">
        <v>18000.0</v>
      </c>
      <c r="M13" s="11">
        <v>18000.0</v>
      </c>
      <c r="N13" s="11">
        <v>18000.0</v>
      </c>
      <c r="O13" s="11">
        <v>18000.0</v>
      </c>
      <c r="P13" s="11">
        <v>18000.0</v>
      </c>
      <c r="Q13" s="11">
        <v>16920.0</v>
      </c>
      <c r="R13" s="11">
        <v>12960.0</v>
      </c>
      <c r="S13" s="11">
        <v>12960.0</v>
      </c>
      <c r="T13" s="11">
        <v>10800.0</v>
      </c>
      <c r="U13" s="11">
        <v>7200.0</v>
      </c>
    </row>
    <row r="14">
      <c r="A14" s="5">
        <v>13.0</v>
      </c>
      <c r="B14" s="22" t="s">
        <v>36</v>
      </c>
      <c r="C14" s="7" t="s">
        <v>37</v>
      </c>
      <c r="D14" s="21">
        <v>2500.0</v>
      </c>
      <c r="E14" s="9">
        <v>2500.0</v>
      </c>
      <c r="F14" s="9">
        <v>2500.0</v>
      </c>
      <c r="G14" s="9">
        <v>2000.0</v>
      </c>
      <c r="H14" s="9">
        <v>1500.0</v>
      </c>
      <c r="I14" s="9">
        <v>0.0</v>
      </c>
      <c r="J14" s="10">
        <v>0.0</v>
      </c>
      <c r="K14" s="21">
        <v>6000.0</v>
      </c>
      <c r="L14" s="11">
        <v>6000.0</v>
      </c>
      <c r="M14" s="11">
        <v>6000.0</v>
      </c>
      <c r="N14" s="11">
        <v>5200.0</v>
      </c>
      <c r="O14" s="11">
        <v>4800.0</v>
      </c>
      <c r="P14" s="11">
        <v>3600.0</v>
      </c>
      <c r="Q14" s="11">
        <v>2400.0</v>
      </c>
      <c r="R14" s="11">
        <v>0.0</v>
      </c>
      <c r="S14" s="11">
        <v>0.0</v>
      </c>
      <c r="T14" s="11">
        <v>0.0</v>
      </c>
      <c r="U14" s="11">
        <v>0.0</v>
      </c>
    </row>
    <row r="15">
      <c r="A15" s="5">
        <v>14.0</v>
      </c>
      <c r="B15" s="6" t="s">
        <v>38</v>
      </c>
      <c r="C15" s="7" t="s">
        <v>37</v>
      </c>
      <c r="D15" s="21">
        <v>2500.0</v>
      </c>
      <c r="E15" s="9">
        <v>2500.0</v>
      </c>
      <c r="F15" s="9">
        <v>2500.0</v>
      </c>
      <c r="G15" s="9">
        <v>2000.0</v>
      </c>
      <c r="H15" s="9">
        <v>1500.0</v>
      </c>
      <c r="I15" s="9">
        <v>0.0</v>
      </c>
      <c r="J15" s="10">
        <v>0.0</v>
      </c>
      <c r="K15" s="21">
        <v>6000.0</v>
      </c>
      <c r="L15" s="11">
        <v>6000.0</v>
      </c>
      <c r="M15" s="11">
        <v>6000.0</v>
      </c>
      <c r="N15" s="11">
        <v>5200.0</v>
      </c>
      <c r="O15" s="11">
        <v>4800.0</v>
      </c>
      <c r="P15" s="11">
        <v>3600.0</v>
      </c>
      <c r="Q15" s="11">
        <v>2400.0</v>
      </c>
      <c r="R15" s="11">
        <v>0.0</v>
      </c>
      <c r="S15" s="11">
        <v>0.0</v>
      </c>
      <c r="T15" s="11">
        <v>0.0</v>
      </c>
      <c r="U15" s="11">
        <v>0.0</v>
      </c>
    </row>
    <row r="16">
      <c r="A16" s="5">
        <v>15.0</v>
      </c>
      <c r="B16" s="6" t="s">
        <v>39</v>
      </c>
      <c r="C16" s="7" t="s">
        <v>40</v>
      </c>
      <c r="D16" s="8">
        <v>6500.0</v>
      </c>
      <c r="E16" s="9">
        <v>6500.0</v>
      </c>
      <c r="F16" s="9">
        <v>6500.0</v>
      </c>
      <c r="G16" s="9">
        <v>6000.0</v>
      </c>
      <c r="H16" s="9">
        <v>5135.0</v>
      </c>
      <c r="I16" s="9">
        <v>3900.0</v>
      </c>
      <c r="J16" s="10">
        <v>2795.0</v>
      </c>
      <c r="K16" s="8">
        <v>12000.0</v>
      </c>
      <c r="L16" s="11">
        <v>12000.0</v>
      </c>
      <c r="M16" s="11">
        <v>12000.0</v>
      </c>
      <c r="N16" s="11">
        <v>12000.0</v>
      </c>
      <c r="O16" s="11">
        <v>11040.0</v>
      </c>
      <c r="P16" s="11">
        <v>10320.0</v>
      </c>
      <c r="Q16" s="11">
        <v>8880.0</v>
      </c>
      <c r="R16" s="24">
        <v>6960.0</v>
      </c>
      <c r="S16" s="11">
        <v>5040.0</v>
      </c>
      <c r="T16" s="11">
        <v>0.0</v>
      </c>
      <c r="U16" s="11">
        <v>0.0</v>
      </c>
    </row>
    <row r="17">
      <c r="A17" s="5">
        <v>16.0</v>
      </c>
      <c r="B17" s="6" t="s">
        <v>41</v>
      </c>
      <c r="C17" s="7" t="s">
        <v>42</v>
      </c>
      <c r="D17" s="8">
        <v>5500.0</v>
      </c>
      <c r="E17" s="9">
        <v>5500.0</v>
      </c>
      <c r="F17" s="9">
        <v>5500.0</v>
      </c>
      <c r="G17" s="9">
        <v>5000.0</v>
      </c>
      <c r="H17" s="9">
        <v>4180.0</v>
      </c>
      <c r="I17" s="25">
        <v>3080.0</v>
      </c>
      <c r="J17" s="10">
        <v>2090.0</v>
      </c>
      <c r="K17" s="8">
        <v>13000.0</v>
      </c>
      <c r="L17" s="11">
        <v>13000.0</v>
      </c>
      <c r="M17" s="11">
        <v>13000.0</v>
      </c>
      <c r="N17" s="11">
        <v>13000.0</v>
      </c>
      <c r="O17" s="11">
        <v>12220.0</v>
      </c>
      <c r="P17" s="11">
        <v>11700.0</v>
      </c>
      <c r="Q17" s="11">
        <v>10140.0</v>
      </c>
      <c r="R17" s="11">
        <v>7930.0</v>
      </c>
      <c r="S17" s="11">
        <v>6240.0</v>
      </c>
      <c r="T17" s="11">
        <v>5200.0</v>
      </c>
      <c r="U17" s="11">
        <v>0.0</v>
      </c>
    </row>
    <row r="18">
      <c r="A18" s="5">
        <v>17.0</v>
      </c>
      <c r="B18" s="6" t="s">
        <v>43</v>
      </c>
      <c r="C18" s="7" t="s">
        <v>44</v>
      </c>
      <c r="D18" s="20">
        <v>4000.0</v>
      </c>
      <c r="E18" s="9">
        <v>4000.0</v>
      </c>
      <c r="F18" s="9">
        <v>4000.0</v>
      </c>
      <c r="G18" s="9">
        <v>3500.0</v>
      </c>
      <c r="H18" s="9">
        <v>2760.0</v>
      </c>
      <c r="I18" s="9">
        <v>0.0</v>
      </c>
      <c r="J18" s="10">
        <v>0.0</v>
      </c>
      <c r="K18" s="20">
        <v>8500.0</v>
      </c>
      <c r="L18" s="11">
        <v>8500.0</v>
      </c>
      <c r="M18" s="11">
        <v>8500.0</v>
      </c>
      <c r="N18" s="11">
        <v>8000.0</v>
      </c>
      <c r="O18" s="11">
        <v>7225.0</v>
      </c>
      <c r="P18" s="11">
        <v>6120.0</v>
      </c>
      <c r="Q18" s="11">
        <v>5100.0</v>
      </c>
      <c r="R18" s="11">
        <v>3740.0</v>
      </c>
      <c r="S18" s="11">
        <v>0.0</v>
      </c>
      <c r="T18" s="11">
        <v>0.0</v>
      </c>
      <c r="U18" s="11">
        <v>0.0</v>
      </c>
    </row>
    <row r="19" ht="15.75" customHeight="1">
      <c r="A19" s="5">
        <v>18.0</v>
      </c>
      <c r="B19" s="6" t="s">
        <v>45</v>
      </c>
      <c r="C19" s="7" t="s">
        <v>46</v>
      </c>
      <c r="D19" s="21">
        <v>2500.0</v>
      </c>
      <c r="E19" s="9">
        <v>2500.0</v>
      </c>
      <c r="F19" s="9">
        <v>2500.0</v>
      </c>
      <c r="G19" s="9">
        <v>2000.0</v>
      </c>
      <c r="H19" s="9">
        <v>1500.0</v>
      </c>
      <c r="I19" s="9">
        <v>0.0</v>
      </c>
      <c r="J19" s="10">
        <v>0.0</v>
      </c>
      <c r="K19" s="21">
        <v>7000.0</v>
      </c>
      <c r="L19" s="11">
        <v>7000.0</v>
      </c>
      <c r="M19" s="11">
        <v>7000.0</v>
      </c>
      <c r="N19" s="11">
        <v>6000.0</v>
      </c>
      <c r="O19" s="11">
        <v>5340.0</v>
      </c>
      <c r="P19" s="11">
        <v>4620.0</v>
      </c>
      <c r="Q19" s="11">
        <v>3360.0</v>
      </c>
      <c r="R19" s="11">
        <v>0.0</v>
      </c>
      <c r="S19" s="11">
        <v>0.0</v>
      </c>
      <c r="T19" s="11">
        <v>0.0</v>
      </c>
      <c r="U19" s="11">
        <v>0.0</v>
      </c>
    </row>
    <row r="20" ht="15.75" customHeight="1">
      <c r="A20" s="5">
        <v>19.0</v>
      </c>
      <c r="B20" s="22" t="s">
        <v>47</v>
      </c>
      <c r="C20" s="7" t="s">
        <v>48</v>
      </c>
      <c r="D20" s="20">
        <v>4000.0</v>
      </c>
      <c r="E20" s="9">
        <v>4000.0</v>
      </c>
      <c r="F20" s="9">
        <v>4000.0</v>
      </c>
      <c r="G20" s="9">
        <v>3500.0</v>
      </c>
      <c r="H20" s="9">
        <v>2760.0</v>
      </c>
      <c r="I20" s="9">
        <v>0.0</v>
      </c>
      <c r="J20" s="10">
        <v>0.0</v>
      </c>
      <c r="K20" s="20">
        <v>10000.0</v>
      </c>
      <c r="L20" s="11">
        <v>10000.0</v>
      </c>
      <c r="M20" s="11">
        <v>10000.0</v>
      </c>
      <c r="N20" s="11">
        <v>10000.0</v>
      </c>
      <c r="O20" s="11">
        <v>8800.0</v>
      </c>
      <c r="P20" s="11">
        <v>7800.0</v>
      </c>
      <c r="Q20" s="11">
        <v>6600.0</v>
      </c>
      <c r="R20" s="11">
        <v>5000.0</v>
      </c>
      <c r="S20" s="11">
        <v>3000.0</v>
      </c>
      <c r="T20" s="11">
        <v>0.0</v>
      </c>
      <c r="U20" s="11">
        <v>0.0</v>
      </c>
    </row>
    <row r="21" ht="15.75" customHeight="1">
      <c r="A21" s="5">
        <v>20.0</v>
      </c>
      <c r="B21" s="22" t="s">
        <v>49</v>
      </c>
      <c r="C21" s="7" t="s">
        <v>48</v>
      </c>
      <c r="D21" s="20">
        <v>3500.0</v>
      </c>
      <c r="E21" s="9">
        <v>3500.0</v>
      </c>
      <c r="F21" s="9">
        <v>3500.0</v>
      </c>
      <c r="G21" s="9">
        <v>3000.0</v>
      </c>
      <c r="H21" s="9">
        <v>2310.0</v>
      </c>
      <c r="I21" s="9">
        <v>0.0</v>
      </c>
      <c r="J21" s="10">
        <v>0.0</v>
      </c>
      <c r="K21" s="20">
        <v>9500.0</v>
      </c>
      <c r="L21" s="11">
        <v>9500.0</v>
      </c>
      <c r="M21" s="11">
        <v>9500.0</v>
      </c>
      <c r="N21" s="11">
        <v>9500.0</v>
      </c>
      <c r="O21" s="11">
        <v>8265.0</v>
      </c>
      <c r="P21" s="11">
        <v>7220.0</v>
      </c>
      <c r="Q21" s="11">
        <v>6080.0</v>
      </c>
      <c r="R21" s="11">
        <v>4560.0</v>
      </c>
      <c r="S21" s="11">
        <v>0.0</v>
      </c>
      <c r="T21" s="11">
        <v>0.0</v>
      </c>
      <c r="U21" s="11">
        <v>0.0</v>
      </c>
    </row>
    <row r="22" ht="15.75" customHeight="1">
      <c r="A22" s="5">
        <v>21.0</v>
      </c>
      <c r="B22" s="6" t="s">
        <v>50</v>
      </c>
      <c r="C22" s="7" t="s">
        <v>48</v>
      </c>
      <c r="D22" s="20">
        <v>5000.0</v>
      </c>
      <c r="E22" s="9">
        <v>5000.0</v>
      </c>
      <c r="F22" s="9">
        <v>5000.0</v>
      </c>
      <c r="G22" s="9">
        <v>4500.0</v>
      </c>
      <c r="H22" s="9">
        <v>3700.0</v>
      </c>
      <c r="I22" s="9">
        <v>2700.0</v>
      </c>
      <c r="J22" s="10">
        <v>0.0</v>
      </c>
      <c r="K22" s="8">
        <v>11000.0</v>
      </c>
      <c r="L22" s="11">
        <v>11000.0</v>
      </c>
      <c r="M22" s="11">
        <v>11000.0</v>
      </c>
      <c r="N22" s="11">
        <v>11000.0</v>
      </c>
      <c r="O22" s="11">
        <v>9900.0</v>
      </c>
      <c r="P22" s="11">
        <v>9020.0</v>
      </c>
      <c r="Q22" s="24">
        <v>7700.0</v>
      </c>
      <c r="R22" s="11">
        <v>5940.0</v>
      </c>
      <c r="S22" s="11">
        <v>3960.0</v>
      </c>
      <c r="T22" s="11">
        <v>0.0</v>
      </c>
      <c r="U22" s="11">
        <v>0.0</v>
      </c>
    </row>
    <row r="23" ht="15.75" customHeight="1">
      <c r="A23" s="5">
        <v>22.0</v>
      </c>
      <c r="B23" s="6" t="s">
        <v>51</v>
      </c>
      <c r="C23" s="7" t="s">
        <v>52</v>
      </c>
      <c r="D23" s="19">
        <v>8500.0</v>
      </c>
      <c r="E23" s="9">
        <v>8500.0</v>
      </c>
      <c r="F23" s="9">
        <v>8500.0</v>
      </c>
      <c r="G23" s="9">
        <v>8000.0</v>
      </c>
      <c r="H23" s="9">
        <v>7055.0</v>
      </c>
      <c r="I23" s="9">
        <v>5440.0</v>
      </c>
      <c r="J23" s="10">
        <v>4335.0</v>
      </c>
      <c r="K23" s="19">
        <v>18000.0</v>
      </c>
      <c r="L23" s="11">
        <v>18000.0</v>
      </c>
      <c r="M23" s="11">
        <v>18000.0</v>
      </c>
      <c r="N23" s="11">
        <v>18000.0</v>
      </c>
      <c r="O23" s="11">
        <v>18000.0</v>
      </c>
      <c r="P23" s="11">
        <v>18000.0</v>
      </c>
      <c r="Q23" s="11">
        <v>16920.0</v>
      </c>
      <c r="R23" s="11">
        <v>12960.0</v>
      </c>
      <c r="S23" s="11">
        <v>12960.0</v>
      </c>
      <c r="T23" s="11">
        <v>10800.0</v>
      </c>
      <c r="U23" s="11">
        <v>7200.0</v>
      </c>
    </row>
    <row r="24" ht="15.75" customHeight="1">
      <c r="A24" s="5">
        <v>23.0</v>
      </c>
      <c r="B24" s="6" t="s">
        <v>53</v>
      </c>
      <c r="C24" s="7" t="s">
        <v>54</v>
      </c>
      <c r="D24" s="8">
        <v>6500.0</v>
      </c>
      <c r="E24" s="9">
        <v>6500.0</v>
      </c>
      <c r="F24" s="9">
        <v>6500.0</v>
      </c>
      <c r="G24" s="9">
        <v>6000.0</v>
      </c>
      <c r="H24" s="9">
        <v>5135.0</v>
      </c>
      <c r="I24" s="9">
        <v>3900.0</v>
      </c>
      <c r="J24" s="10">
        <v>2795.0</v>
      </c>
      <c r="K24" s="8">
        <v>13500.0</v>
      </c>
      <c r="L24" s="11">
        <v>13500.0</v>
      </c>
      <c r="M24" s="11">
        <v>13500.0</v>
      </c>
      <c r="N24" s="11">
        <v>13500.0</v>
      </c>
      <c r="O24" s="11">
        <v>12825.0</v>
      </c>
      <c r="P24" s="11">
        <v>12420.0</v>
      </c>
      <c r="Q24" s="11">
        <v>10800.0</v>
      </c>
      <c r="R24" s="11">
        <v>8370.0</v>
      </c>
      <c r="S24" s="11">
        <v>6885.0</v>
      </c>
      <c r="T24" s="11">
        <v>5670.0</v>
      </c>
      <c r="U24" s="11">
        <v>0.0</v>
      </c>
    </row>
    <row r="25" ht="15.75" customHeight="1">
      <c r="A25" s="5">
        <v>24.0</v>
      </c>
      <c r="B25" s="6" t="s">
        <v>55</v>
      </c>
      <c r="C25" s="7" t="s">
        <v>56</v>
      </c>
      <c r="D25" s="8">
        <v>7000.0</v>
      </c>
      <c r="E25" s="9">
        <v>7000.0</v>
      </c>
      <c r="F25" s="9">
        <v>7000.0</v>
      </c>
      <c r="G25" s="9">
        <v>6500.0</v>
      </c>
      <c r="H25" s="9">
        <v>5600.0</v>
      </c>
      <c r="I25" s="9">
        <v>4270.0</v>
      </c>
      <c r="J25" s="10">
        <v>3150.0</v>
      </c>
      <c r="K25" s="8">
        <v>14000.0</v>
      </c>
      <c r="L25" s="11">
        <v>14000.0</v>
      </c>
      <c r="M25" s="11">
        <v>14000.0</v>
      </c>
      <c r="N25" s="11">
        <v>14000.0</v>
      </c>
      <c r="O25" s="11">
        <v>13440.0</v>
      </c>
      <c r="P25" s="11">
        <v>13160.0</v>
      </c>
      <c r="Q25" s="11">
        <v>11480.0</v>
      </c>
      <c r="R25" s="11">
        <v>8820.0</v>
      </c>
      <c r="S25" s="24">
        <v>7560.0</v>
      </c>
      <c r="T25" s="11">
        <v>6160.0</v>
      </c>
      <c r="U25" s="11">
        <v>0.0</v>
      </c>
    </row>
    <row r="26" ht="15.75" customHeight="1">
      <c r="A26" s="5">
        <v>25.0</v>
      </c>
      <c r="B26" s="6" t="s">
        <v>57</v>
      </c>
      <c r="C26" s="7" t="s">
        <v>58</v>
      </c>
      <c r="D26" s="8">
        <v>6000.0</v>
      </c>
      <c r="E26" s="9">
        <v>6000.0</v>
      </c>
      <c r="F26" s="9">
        <v>6000.0</v>
      </c>
      <c r="G26" s="9">
        <v>5500.0</v>
      </c>
      <c r="H26" s="9">
        <v>4680.0</v>
      </c>
      <c r="I26" s="25">
        <v>3480.0</v>
      </c>
      <c r="J26" s="10">
        <v>2460.0</v>
      </c>
      <c r="K26" s="8">
        <v>12000.0</v>
      </c>
      <c r="L26" s="11">
        <v>12000.0</v>
      </c>
      <c r="M26" s="11">
        <v>12000.0</v>
      </c>
      <c r="N26" s="11">
        <v>12000.0</v>
      </c>
      <c r="O26" s="11">
        <v>11040.0</v>
      </c>
      <c r="P26" s="11">
        <v>10320.0</v>
      </c>
      <c r="Q26" s="11">
        <v>8880.0</v>
      </c>
      <c r="R26" s="24">
        <v>6960.0</v>
      </c>
      <c r="S26" s="11">
        <v>5040.0</v>
      </c>
      <c r="T26" s="11">
        <v>0.0</v>
      </c>
      <c r="U26" s="11">
        <v>0.0</v>
      </c>
    </row>
    <row r="27" ht="15.75" customHeight="1">
      <c r="A27" s="5">
        <v>26.0</v>
      </c>
      <c r="B27" s="6" t="s">
        <v>59</v>
      </c>
      <c r="C27" s="12" t="s">
        <v>60</v>
      </c>
      <c r="D27" s="13">
        <v>2000.0</v>
      </c>
      <c r="E27" s="14">
        <v>2000.0</v>
      </c>
      <c r="F27" s="13">
        <v>1200.0</v>
      </c>
      <c r="G27" s="13">
        <v>800.0</v>
      </c>
      <c r="H27" s="15">
        <v>400.0</v>
      </c>
      <c r="I27" s="9">
        <v>0.0</v>
      </c>
      <c r="J27" s="10">
        <v>0.0</v>
      </c>
      <c r="K27" s="21">
        <v>5000.0</v>
      </c>
      <c r="L27" s="11">
        <v>5000.0</v>
      </c>
      <c r="M27" s="11">
        <v>5000.0</v>
      </c>
      <c r="N27" s="11">
        <v>4300.0</v>
      </c>
      <c r="O27" s="11">
        <v>3700.0</v>
      </c>
      <c r="P27" s="11">
        <v>3000.0</v>
      </c>
      <c r="Q27" s="11">
        <v>2000.0</v>
      </c>
      <c r="R27" s="11">
        <v>0.0</v>
      </c>
      <c r="S27" s="11">
        <v>0.0</v>
      </c>
      <c r="T27" s="11">
        <v>0.0</v>
      </c>
      <c r="U27" s="11">
        <v>0.0</v>
      </c>
    </row>
    <row r="28" ht="15.75" customHeight="1">
      <c r="A28" s="5">
        <v>27.0</v>
      </c>
      <c r="B28" s="6" t="s">
        <v>61</v>
      </c>
      <c r="C28" s="7" t="s">
        <v>62</v>
      </c>
      <c r="D28" s="23">
        <v>10000.0</v>
      </c>
      <c r="E28" s="9">
        <v>10000.0</v>
      </c>
      <c r="F28" s="9">
        <v>10000.0</v>
      </c>
      <c r="G28" s="9">
        <v>9500.0</v>
      </c>
      <c r="H28" s="9">
        <v>9000.0</v>
      </c>
      <c r="I28" s="9">
        <v>6700.0</v>
      </c>
      <c r="J28" s="26">
        <v>5700.0</v>
      </c>
      <c r="K28" s="23">
        <v>20000.0</v>
      </c>
      <c r="L28" s="11">
        <v>20000.0</v>
      </c>
      <c r="M28" s="11">
        <v>20000.0</v>
      </c>
      <c r="N28" s="11">
        <v>20000.0</v>
      </c>
      <c r="O28" s="11">
        <v>20000.0</v>
      </c>
      <c r="P28" s="11">
        <v>20000.0</v>
      </c>
      <c r="Q28" s="11">
        <v>19000.0</v>
      </c>
      <c r="R28" s="11">
        <v>16000.0</v>
      </c>
      <c r="S28" s="11">
        <v>16000.0</v>
      </c>
      <c r="T28" s="11">
        <v>12000.0</v>
      </c>
      <c r="U28" s="11">
        <v>8000.0</v>
      </c>
    </row>
    <row r="29" ht="15.75" customHeight="1">
      <c r="A29" s="5">
        <v>28.0</v>
      </c>
      <c r="B29" s="6" t="s">
        <v>63</v>
      </c>
      <c r="C29" s="7" t="s">
        <v>64</v>
      </c>
      <c r="D29" s="20">
        <v>5000.0</v>
      </c>
      <c r="E29" s="9">
        <v>5000.0</v>
      </c>
      <c r="F29" s="9">
        <v>5000.0</v>
      </c>
      <c r="G29" s="9">
        <v>4500.0</v>
      </c>
      <c r="H29" s="9">
        <v>3700.0</v>
      </c>
      <c r="I29" s="9">
        <v>2700.0</v>
      </c>
      <c r="J29" s="10">
        <v>0.0</v>
      </c>
      <c r="K29" s="8">
        <v>12000.0</v>
      </c>
      <c r="L29" s="11">
        <v>12000.0</v>
      </c>
      <c r="M29" s="11">
        <v>12000.0</v>
      </c>
      <c r="N29" s="11">
        <v>12000.0</v>
      </c>
      <c r="O29" s="11">
        <v>11040.0</v>
      </c>
      <c r="P29" s="11">
        <v>10320.0</v>
      </c>
      <c r="Q29" s="11">
        <v>8880.0</v>
      </c>
      <c r="R29" s="24">
        <v>6960.0</v>
      </c>
      <c r="S29" s="11">
        <v>5040.0</v>
      </c>
      <c r="T29" s="11">
        <v>0.0</v>
      </c>
      <c r="U29" s="11">
        <v>0.0</v>
      </c>
    </row>
    <row r="30" ht="15.75" customHeight="1">
      <c r="A30" s="5">
        <v>29.0</v>
      </c>
      <c r="B30" s="6" t="s">
        <v>65</v>
      </c>
      <c r="C30" s="7" t="s">
        <v>66</v>
      </c>
      <c r="D30" s="8">
        <v>7000.0</v>
      </c>
      <c r="E30" s="9">
        <v>7000.0</v>
      </c>
      <c r="F30" s="9">
        <v>7000.0</v>
      </c>
      <c r="G30" s="9">
        <v>6500.0</v>
      </c>
      <c r="H30" s="9">
        <v>5600.0</v>
      </c>
      <c r="I30" s="9">
        <v>4270.0</v>
      </c>
      <c r="J30" s="10">
        <v>3150.0</v>
      </c>
      <c r="K30" s="19">
        <v>14500.0</v>
      </c>
      <c r="L30" s="11">
        <v>14500.0</v>
      </c>
      <c r="M30" s="11">
        <v>14500.0</v>
      </c>
      <c r="N30" s="11">
        <v>14500.0</v>
      </c>
      <c r="O30" s="11">
        <v>14065.0</v>
      </c>
      <c r="P30" s="11">
        <v>13920.0</v>
      </c>
      <c r="Q30" s="11">
        <v>12180.0</v>
      </c>
      <c r="R30" s="11">
        <v>9280.0</v>
      </c>
      <c r="S30" s="11">
        <v>8265.0</v>
      </c>
      <c r="T30" s="11">
        <v>6670.0</v>
      </c>
      <c r="U30" s="11">
        <v>0.0</v>
      </c>
    </row>
    <row r="31" ht="15.75" customHeight="1">
      <c r="A31" s="5">
        <v>30.0</v>
      </c>
      <c r="B31" s="6" t="s">
        <v>67</v>
      </c>
      <c r="C31" s="7" t="s">
        <v>68</v>
      </c>
      <c r="D31" s="21">
        <v>2500.0</v>
      </c>
      <c r="E31" s="9">
        <v>2500.0</v>
      </c>
      <c r="F31" s="9">
        <v>2500.0</v>
      </c>
      <c r="G31" s="9">
        <v>2000.0</v>
      </c>
      <c r="H31" s="9">
        <v>1500.0</v>
      </c>
      <c r="I31" s="9">
        <v>0.0</v>
      </c>
      <c r="J31" s="10">
        <v>0.0</v>
      </c>
      <c r="K31" s="21">
        <v>4500.0</v>
      </c>
      <c r="L31" s="11">
        <v>4500.0</v>
      </c>
      <c r="M31" s="11">
        <v>4500.0</v>
      </c>
      <c r="N31" s="11">
        <v>3800.0</v>
      </c>
      <c r="O31" s="11">
        <v>3400.0</v>
      </c>
      <c r="P31" s="11">
        <v>3000.0</v>
      </c>
      <c r="Q31" s="11">
        <v>2000.0</v>
      </c>
      <c r="R31" s="11">
        <v>0.0</v>
      </c>
      <c r="S31" s="11">
        <v>0.0</v>
      </c>
      <c r="T31" s="11">
        <v>0.0</v>
      </c>
      <c r="U31" s="11">
        <v>0.0</v>
      </c>
    </row>
    <row r="32" ht="15.75" customHeight="1">
      <c r="A32" s="5">
        <v>31.0</v>
      </c>
      <c r="B32" s="6" t="s">
        <v>69</v>
      </c>
      <c r="C32" s="12" t="s">
        <v>70</v>
      </c>
      <c r="D32" s="13">
        <v>2000.0</v>
      </c>
      <c r="E32" s="13">
        <v>1500.0</v>
      </c>
      <c r="F32" s="13">
        <v>1200.0</v>
      </c>
      <c r="G32" s="13">
        <v>800.0</v>
      </c>
      <c r="H32" s="15">
        <v>400.0</v>
      </c>
      <c r="I32" s="9">
        <v>0.0</v>
      </c>
      <c r="J32" s="10">
        <v>0.0</v>
      </c>
      <c r="K32" s="27">
        <v>4000.0</v>
      </c>
      <c r="L32" s="28">
        <v>3500.0</v>
      </c>
      <c r="M32" s="28">
        <v>3500.0</v>
      </c>
      <c r="N32" s="28">
        <v>2500.0</v>
      </c>
      <c r="O32" s="28">
        <v>1500.0</v>
      </c>
      <c r="P32" s="17">
        <v>1000.0</v>
      </c>
      <c r="Q32" s="11">
        <v>0.0</v>
      </c>
      <c r="R32" s="11">
        <v>0.0</v>
      </c>
      <c r="S32" s="11">
        <v>0.0</v>
      </c>
      <c r="T32" s="11">
        <v>0.0</v>
      </c>
      <c r="U32" s="11">
        <v>0.0</v>
      </c>
    </row>
    <row r="33" ht="15.75" customHeight="1">
      <c r="A33" s="5">
        <v>32.0</v>
      </c>
      <c r="B33" s="6" t="s">
        <v>71</v>
      </c>
      <c r="C33" s="7" t="s">
        <v>72</v>
      </c>
      <c r="D33" s="19">
        <v>8000.0</v>
      </c>
      <c r="E33" s="9">
        <v>8000.0</v>
      </c>
      <c r="F33" s="9">
        <v>8000.0</v>
      </c>
      <c r="G33" s="9">
        <v>7500.0</v>
      </c>
      <c r="H33" s="9">
        <v>6560.0</v>
      </c>
      <c r="I33" s="9">
        <v>5040.0</v>
      </c>
      <c r="J33" s="10">
        <v>3920.0</v>
      </c>
      <c r="K33" s="19">
        <v>16000.0</v>
      </c>
      <c r="L33" s="11">
        <v>16000.0</v>
      </c>
      <c r="M33" s="11">
        <v>16000.0</v>
      </c>
      <c r="N33" s="11">
        <v>16000.0</v>
      </c>
      <c r="O33" s="11">
        <v>16000.0</v>
      </c>
      <c r="P33" s="11">
        <v>16000.0</v>
      </c>
      <c r="Q33" s="11">
        <v>14400.0</v>
      </c>
      <c r="R33" s="11">
        <v>10720.0</v>
      </c>
      <c r="S33" s="11">
        <v>10240.0</v>
      </c>
      <c r="T33" s="11">
        <v>8320.0</v>
      </c>
      <c r="U33" s="11">
        <v>0.0</v>
      </c>
    </row>
    <row r="34" ht="15.75" customHeight="1">
      <c r="A34" s="5">
        <v>33.0</v>
      </c>
      <c r="B34" s="22" t="s">
        <v>73</v>
      </c>
      <c r="C34" s="7" t="s">
        <v>74</v>
      </c>
      <c r="D34" s="21">
        <v>2500.0</v>
      </c>
      <c r="E34" s="9">
        <v>2500.0</v>
      </c>
      <c r="F34" s="9">
        <v>2500.0</v>
      </c>
      <c r="G34" s="9">
        <v>2000.0</v>
      </c>
      <c r="H34" s="9">
        <v>1500.0</v>
      </c>
      <c r="I34" s="9">
        <v>0.0</v>
      </c>
      <c r="J34" s="10">
        <v>0.0</v>
      </c>
      <c r="K34" s="21">
        <v>5000.0</v>
      </c>
      <c r="L34" s="11">
        <v>5000.0</v>
      </c>
      <c r="M34" s="11">
        <v>5000.0</v>
      </c>
      <c r="N34" s="11">
        <v>4300.0</v>
      </c>
      <c r="O34" s="11">
        <v>3700.0</v>
      </c>
      <c r="P34" s="11">
        <v>3000.0</v>
      </c>
      <c r="Q34" s="11">
        <v>2000.0</v>
      </c>
      <c r="R34" s="11">
        <v>0.0</v>
      </c>
      <c r="S34" s="11">
        <v>0.0</v>
      </c>
      <c r="T34" s="11">
        <v>0.0</v>
      </c>
      <c r="U34" s="11">
        <v>0.0</v>
      </c>
    </row>
    <row r="35" ht="15.75" customHeight="1">
      <c r="A35" s="5">
        <v>34.0</v>
      </c>
      <c r="B35" s="6" t="s">
        <v>75</v>
      </c>
      <c r="C35" s="7" t="s">
        <v>74</v>
      </c>
      <c r="D35" s="21">
        <v>3000.0</v>
      </c>
      <c r="E35" s="9">
        <v>3000.0</v>
      </c>
      <c r="F35" s="9">
        <v>3000.0</v>
      </c>
      <c r="G35" s="9">
        <v>2500.0</v>
      </c>
      <c r="H35" s="9">
        <v>1890.0</v>
      </c>
      <c r="I35" s="9">
        <v>0.0</v>
      </c>
      <c r="J35" s="10">
        <v>0.0</v>
      </c>
      <c r="K35" s="21">
        <v>7000.0</v>
      </c>
      <c r="L35" s="11">
        <v>7000.0</v>
      </c>
      <c r="M35" s="11">
        <v>7000.0</v>
      </c>
      <c r="N35" s="11">
        <v>6000.0</v>
      </c>
      <c r="O35" s="11">
        <v>5340.0</v>
      </c>
      <c r="P35" s="11">
        <v>4620.0</v>
      </c>
      <c r="Q35" s="11">
        <v>3360.0</v>
      </c>
      <c r="R35" s="11">
        <v>0.0</v>
      </c>
      <c r="S35" s="11">
        <v>0.0</v>
      </c>
      <c r="T35" s="11">
        <v>0.0</v>
      </c>
      <c r="U35" s="11">
        <v>0.0</v>
      </c>
    </row>
    <row r="36" ht="15.75" customHeight="1">
      <c r="A36" s="5">
        <v>35.0</v>
      </c>
      <c r="B36" s="6" t="s">
        <v>76</v>
      </c>
      <c r="C36" s="7" t="s">
        <v>77</v>
      </c>
      <c r="D36" s="21">
        <v>3000.0</v>
      </c>
      <c r="E36" s="9">
        <v>3000.0</v>
      </c>
      <c r="F36" s="9">
        <v>3000.0</v>
      </c>
      <c r="G36" s="9">
        <v>2500.0</v>
      </c>
      <c r="H36" s="9">
        <v>1890.0</v>
      </c>
      <c r="I36" s="9">
        <v>0.0</v>
      </c>
      <c r="J36" s="10">
        <v>0.0</v>
      </c>
      <c r="K36" s="21">
        <v>7000.0</v>
      </c>
      <c r="L36" s="11">
        <v>7000.0</v>
      </c>
      <c r="M36" s="11">
        <v>7000.0</v>
      </c>
      <c r="N36" s="11">
        <v>6000.0</v>
      </c>
      <c r="O36" s="11">
        <v>5340.0</v>
      </c>
      <c r="P36" s="11">
        <v>4620.0</v>
      </c>
      <c r="Q36" s="11">
        <v>3360.0</v>
      </c>
      <c r="R36" s="11">
        <v>0.0</v>
      </c>
      <c r="S36" s="11">
        <v>0.0</v>
      </c>
      <c r="T36" s="11">
        <v>0.0</v>
      </c>
      <c r="U36" s="11">
        <v>0.0</v>
      </c>
    </row>
    <row r="37" ht="15.75" customHeight="1">
      <c r="A37" s="5">
        <v>36.0</v>
      </c>
      <c r="B37" s="18" t="s">
        <v>78</v>
      </c>
      <c r="C37" s="7" t="s">
        <v>79</v>
      </c>
      <c r="D37" s="19">
        <v>9000.0</v>
      </c>
      <c r="E37" s="9">
        <v>9000.0</v>
      </c>
      <c r="F37" s="9">
        <v>9000.0</v>
      </c>
      <c r="G37" s="9">
        <v>8500.0</v>
      </c>
      <c r="H37" s="9">
        <v>7560.0</v>
      </c>
      <c r="I37" s="9">
        <v>5850.0</v>
      </c>
      <c r="J37" s="10">
        <v>4770.0</v>
      </c>
      <c r="K37" s="19">
        <v>18000.0</v>
      </c>
      <c r="L37" s="11">
        <v>18000.0</v>
      </c>
      <c r="M37" s="11">
        <v>18000.0</v>
      </c>
      <c r="N37" s="11">
        <v>18000.0</v>
      </c>
      <c r="O37" s="11">
        <v>18000.0</v>
      </c>
      <c r="P37" s="11">
        <v>18000.0</v>
      </c>
      <c r="Q37" s="11">
        <v>16920.0</v>
      </c>
      <c r="R37" s="11">
        <v>12960.0</v>
      </c>
      <c r="S37" s="11">
        <v>12960.0</v>
      </c>
      <c r="T37" s="11">
        <v>10800.0</v>
      </c>
      <c r="U37" s="11">
        <v>7200.0</v>
      </c>
    </row>
    <row r="38" ht="15.75" customHeight="1">
      <c r="A38" s="5">
        <v>37.0</v>
      </c>
      <c r="B38" s="6" t="s">
        <v>80</v>
      </c>
      <c r="C38" s="7" t="s">
        <v>81</v>
      </c>
      <c r="D38" s="19">
        <v>7500.0</v>
      </c>
      <c r="E38" s="9">
        <v>7500.0</v>
      </c>
      <c r="F38" s="9">
        <v>7500.0</v>
      </c>
      <c r="G38" s="9">
        <v>7000.0</v>
      </c>
      <c r="H38" s="9">
        <v>6075.0</v>
      </c>
      <c r="I38" s="9">
        <v>4650.0</v>
      </c>
      <c r="J38" s="10">
        <v>3525.0</v>
      </c>
      <c r="K38" s="19">
        <v>14500.0</v>
      </c>
      <c r="L38" s="11">
        <v>14500.0</v>
      </c>
      <c r="M38" s="11">
        <v>14500.0</v>
      </c>
      <c r="N38" s="11">
        <v>14500.0</v>
      </c>
      <c r="O38" s="11">
        <v>14065.0</v>
      </c>
      <c r="P38" s="11">
        <v>13920.0</v>
      </c>
      <c r="Q38" s="11">
        <v>12180.0</v>
      </c>
      <c r="R38" s="11">
        <v>9280.0</v>
      </c>
      <c r="S38" s="11">
        <v>8265.0</v>
      </c>
      <c r="T38" s="11">
        <v>6670.0</v>
      </c>
      <c r="U38" s="11">
        <v>0.0</v>
      </c>
    </row>
    <row r="39" ht="15.75" customHeight="1">
      <c r="A39" s="5">
        <v>38.0</v>
      </c>
      <c r="B39" s="6" t="s">
        <v>82</v>
      </c>
      <c r="C39" s="7" t="s">
        <v>83</v>
      </c>
      <c r="D39" s="23">
        <v>12000.0</v>
      </c>
      <c r="E39" s="9">
        <v>12000.0</v>
      </c>
      <c r="F39" s="9">
        <v>12000.0</v>
      </c>
      <c r="G39" s="9">
        <v>11500.0</v>
      </c>
      <c r="H39" s="9">
        <v>10800.0</v>
      </c>
      <c r="I39" s="9">
        <v>8400.0</v>
      </c>
      <c r="J39" s="10">
        <v>7200.0</v>
      </c>
      <c r="K39" s="23">
        <v>25000.0</v>
      </c>
      <c r="L39" s="11">
        <v>25000.0</v>
      </c>
      <c r="M39" s="11">
        <v>25000.0</v>
      </c>
      <c r="N39" s="11">
        <v>25000.0</v>
      </c>
      <c r="O39" s="11">
        <v>23000.0</v>
      </c>
      <c r="P39" s="11">
        <v>23000.0</v>
      </c>
      <c r="Q39" s="11">
        <v>21850.0</v>
      </c>
      <c r="R39" s="11">
        <v>20700.0</v>
      </c>
      <c r="S39" s="11">
        <v>18400.0</v>
      </c>
      <c r="T39" s="11">
        <v>13800.0</v>
      </c>
      <c r="U39" s="11">
        <v>9200.0</v>
      </c>
    </row>
    <row r="40" ht="15.75" customHeight="1">
      <c r="A40" s="5">
        <v>39.0</v>
      </c>
      <c r="B40" s="6" t="s">
        <v>84</v>
      </c>
      <c r="C40" s="7" t="s">
        <v>85</v>
      </c>
      <c r="D40" s="8">
        <v>6500.0</v>
      </c>
      <c r="E40" s="9">
        <v>6500.0</v>
      </c>
      <c r="F40" s="9">
        <v>6500.0</v>
      </c>
      <c r="G40" s="9">
        <v>6000.0</v>
      </c>
      <c r="H40" s="9">
        <v>5135.0</v>
      </c>
      <c r="I40" s="9">
        <v>3900.0</v>
      </c>
      <c r="J40" s="10">
        <v>2795.0</v>
      </c>
      <c r="K40" s="8">
        <v>13000.0</v>
      </c>
      <c r="L40" s="11">
        <v>13000.0</v>
      </c>
      <c r="M40" s="11">
        <v>13000.0</v>
      </c>
      <c r="N40" s="11">
        <v>13000.0</v>
      </c>
      <c r="O40" s="11">
        <v>12220.0</v>
      </c>
      <c r="P40" s="11">
        <v>11700.0</v>
      </c>
      <c r="Q40" s="11">
        <v>10140.0</v>
      </c>
      <c r="R40" s="11">
        <v>7930.0</v>
      </c>
      <c r="S40" s="11">
        <v>6240.0</v>
      </c>
      <c r="T40" s="11">
        <v>5200.0</v>
      </c>
      <c r="U40" s="11">
        <v>0.0</v>
      </c>
    </row>
    <row r="41" ht="15.75" customHeight="1">
      <c r="A41" s="5">
        <v>40.0</v>
      </c>
      <c r="B41" s="6" t="s">
        <v>86</v>
      </c>
      <c r="C41" s="7" t="s">
        <v>87</v>
      </c>
      <c r="D41" s="8">
        <v>7000.0</v>
      </c>
      <c r="E41" s="9">
        <v>7000.0</v>
      </c>
      <c r="F41" s="9">
        <v>7000.0</v>
      </c>
      <c r="G41" s="9">
        <v>6500.0</v>
      </c>
      <c r="H41" s="9">
        <v>5600.0</v>
      </c>
      <c r="I41" s="9">
        <v>4270.0</v>
      </c>
      <c r="J41" s="10">
        <v>3150.0</v>
      </c>
      <c r="K41" s="8">
        <v>14000.0</v>
      </c>
      <c r="L41" s="11">
        <v>14000.0</v>
      </c>
      <c r="M41" s="11">
        <v>14000.0</v>
      </c>
      <c r="N41" s="11">
        <v>14000.0</v>
      </c>
      <c r="O41" s="11">
        <v>13440.0</v>
      </c>
      <c r="P41" s="11">
        <v>13160.0</v>
      </c>
      <c r="Q41" s="11">
        <v>11480.0</v>
      </c>
      <c r="R41" s="11">
        <v>8820.0</v>
      </c>
      <c r="S41" s="24">
        <v>7560.0</v>
      </c>
      <c r="T41" s="11">
        <v>6160.0</v>
      </c>
      <c r="U41" s="11">
        <v>0.0</v>
      </c>
    </row>
    <row r="42" ht="15.75" customHeight="1">
      <c r="A42" s="5">
        <v>41.0</v>
      </c>
      <c r="B42" s="6" t="s">
        <v>88</v>
      </c>
      <c r="C42" s="12" t="s">
        <v>89</v>
      </c>
      <c r="D42" s="13">
        <v>1500.0</v>
      </c>
      <c r="E42" s="13">
        <v>500.0</v>
      </c>
      <c r="F42" s="13">
        <v>300.0</v>
      </c>
      <c r="G42" s="9">
        <v>0.0</v>
      </c>
      <c r="H42" s="9">
        <v>0.0</v>
      </c>
      <c r="I42" s="9">
        <v>0.0</v>
      </c>
      <c r="J42" s="10">
        <v>0.0</v>
      </c>
      <c r="K42" s="27">
        <v>3500.0</v>
      </c>
      <c r="L42" s="28">
        <v>1500.0</v>
      </c>
      <c r="M42" s="28">
        <v>1300.0</v>
      </c>
      <c r="N42" s="28">
        <v>800.0</v>
      </c>
      <c r="O42" s="17">
        <v>500.0</v>
      </c>
      <c r="P42" s="11">
        <v>0.0</v>
      </c>
      <c r="Q42" s="11">
        <v>0.0</v>
      </c>
      <c r="R42" s="11">
        <v>0.0</v>
      </c>
      <c r="S42" s="11">
        <v>0.0</v>
      </c>
      <c r="T42" s="11">
        <v>0.0</v>
      </c>
      <c r="U42" s="11">
        <v>0.0</v>
      </c>
    </row>
    <row r="43" ht="15.75" customHeight="1">
      <c r="A43" s="5">
        <v>42.0</v>
      </c>
      <c r="B43" s="6" t="s">
        <v>90</v>
      </c>
      <c r="C43" s="12" t="s">
        <v>91</v>
      </c>
      <c r="D43" s="13">
        <v>1500.0</v>
      </c>
      <c r="E43" s="13">
        <v>500.0</v>
      </c>
      <c r="F43" s="13">
        <v>300.0</v>
      </c>
      <c r="G43" s="9">
        <v>0.0</v>
      </c>
      <c r="H43" s="9">
        <v>0.0</v>
      </c>
      <c r="I43" s="9">
        <v>0.0</v>
      </c>
      <c r="J43" s="10">
        <v>0.0</v>
      </c>
      <c r="K43" s="27">
        <v>3500.0</v>
      </c>
      <c r="L43" s="28">
        <v>1500.0</v>
      </c>
      <c r="M43" s="28">
        <v>1300.0</v>
      </c>
      <c r="N43" s="28">
        <v>800.0</v>
      </c>
      <c r="O43" s="17">
        <v>500.0</v>
      </c>
      <c r="P43" s="11">
        <v>0.0</v>
      </c>
      <c r="Q43" s="11">
        <v>0.0</v>
      </c>
      <c r="R43" s="11">
        <v>0.0</v>
      </c>
      <c r="S43" s="11">
        <v>0.0</v>
      </c>
      <c r="T43" s="11">
        <v>0.0</v>
      </c>
      <c r="U43" s="11">
        <v>0.0</v>
      </c>
    </row>
    <row r="44" ht="15.75" customHeight="1">
      <c r="A44" s="5">
        <v>43.0</v>
      </c>
      <c r="B44" s="6" t="s">
        <v>92</v>
      </c>
      <c r="C44" s="7" t="s">
        <v>93</v>
      </c>
      <c r="D44" s="23">
        <v>11500.0</v>
      </c>
      <c r="E44" s="9">
        <v>11500.0</v>
      </c>
      <c r="F44" s="9">
        <v>11500.0</v>
      </c>
      <c r="G44" s="9">
        <v>11000.0</v>
      </c>
      <c r="H44" s="9">
        <v>10350.0</v>
      </c>
      <c r="I44" s="25">
        <v>8050.0</v>
      </c>
      <c r="J44" s="10">
        <v>6785.0</v>
      </c>
      <c r="K44" s="23">
        <v>22000.0</v>
      </c>
      <c r="L44" s="11">
        <v>22000.0</v>
      </c>
      <c r="M44" s="11">
        <v>22000.0</v>
      </c>
      <c r="N44" s="11">
        <v>22000.0</v>
      </c>
      <c r="O44" s="11">
        <v>22000.0</v>
      </c>
      <c r="P44" s="11">
        <v>22000.0</v>
      </c>
      <c r="Q44" s="11">
        <v>20900.0</v>
      </c>
      <c r="R44" s="11">
        <v>19360.0</v>
      </c>
      <c r="S44" s="11">
        <v>17600.0</v>
      </c>
      <c r="T44" s="11">
        <v>13200.0</v>
      </c>
      <c r="U44" s="11">
        <v>8800.0</v>
      </c>
    </row>
    <row r="45" ht="15.75" customHeight="1">
      <c r="A45" s="5">
        <v>44.0</v>
      </c>
      <c r="B45" s="6" t="s">
        <v>94</v>
      </c>
      <c r="C45" s="7" t="s">
        <v>95</v>
      </c>
      <c r="D45" s="19">
        <v>9500.0</v>
      </c>
      <c r="E45" s="9">
        <v>9500.0</v>
      </c>
      <c r="F45" s="9">
        <v>9500.0</v>
      </c>
      <c r="G45" s="9">
        <v>9000.0</v>
      </c>
      <c r="H45" s="9">
        <v>8075.0</v>
      </c>
      <c r="I45" s="9">
        <v>6270.0</v>
      </c>
      <c r="J45" s="10">
        <v>5225.0</v>
      </c>
      <c r="K45" s="19">
        <v>18000.0</v>
      </c>
      <c r="L45" s="11">
        <v>18000.0</v>
      </c>
      <c r="M45" s="11">
        <v>18000.0</v>
      </c>
      <c r="N45" s="11">
        <v>18000.0</v>
      </c>
      <c r="O45" s="11">
        <v>18000.0</v>
      </c>
      <c r="P45" s="11">
        <v>18000.0</v>
      </c>
      <c r="Q45" s="11">
        <v>16920.0</v>
      </c>
      <c r="R45" s="11">
        <v>12960.0</v>
      </c>
      <c r="S45" s="11">
        <v>12960.0</v>
      </c>
      <c r="T45" s="11">
        <v>10800.0</v>
      </c>
      <c r="U45" s="11">
        <v>7200.0</v>
      </c>
    </row>
    <row r="46" ht="15.75" customHeight="1">
      <c r="A46" s="5">
        <v>45.0</v>
      </c>
      <c r="B46" s="6" t="s">
        <v>96</v>
      </c>
      <c r="C46" s="7" t="s">
        <v>97</v>
      </c>
      <c r="D46" s="23">
        <v>10000.0</v>
      </c>
      <c r="E46" s="9">
        <v>10000.0</v>
      </c>
      <c r="F46" s="9">
        <v>10000.0</v>
      </c>
      <c r="G46" s="9">
        <v>9500.0</v>
      </c>
      <c r="H46" s="9">
        <v>9000.0</v>
      </c>
      <c r="I46" s="9">
        <v>6700.0</v>
      </c>
      <c r="J46" s="26">
        <v>5700.0</v>
      </c>
      <c r="K46" s="23">
        <v>19000.0</v>
      </c>
      <c r="L46" s="11">
        <v>19000.0</v>
      </c>
      <c r="M46" s="11">
        <v>19000.0</v>
      </c>
      <c r="N46" s="11">
        <v>19000.0</v>
      </c>
      <c r="O46" s="11">
        <v>19000.0</v>
      </c>
      <c r="P46" s="11">
        <v>19000.0</v>
      </c>
      <c r="Q46" s="11">
        <v>18050.0</v>
      </c>
      <c r="R46" s="11">
        <v>14440.0</v>
      </c>
      <c r="S46" s="11">
        <v>14440.0</v>
      </c>
      <c r="T46" s="11">
        <v>11400.0</v>
      </c>
      <c r="U46" s="11">
        <v>7600.0</v>
      </c>
    </row>
    <row r="47" ht="15.75" customHeight="1">
      <c r="A47" s="5">
        <v>46.0</v>
      </c>
      <c r="B47" s="6" t="s">
        <v>98</v>
      </c>
      <c r="C47" s="7" t="s">
        <v>99</v>
      </c>
      <c r="D47" s="19">
        <v>7500.0</v>
      </c>
      <c r="E47" s="9">
        <v>7500.0</v>
      </c>
      <c r="F47" s="9">
        <v>7500.0</v>
      </c>
      <c r="G47" s="9">
        <v>7000.0</v>
      </c>
      <c r="H47" s="9">
        <v>6075.0</v>
      </c>
      <c r="I47" s="9">
        <v>4650.0</v>
      </c>
      <c r="J47" s="10">
        <v>3525.0</v>
      </c>
      <c r="K47" s="19">
        <v>15000.0</v>
      </c>
      <c r="L47" s="11">
        <v>15000.0</v>
      </c>
      <c r="M47" s="11">
        <v>15000.0</v>
      </c>
      <c r="N47" s="11">
        <v>15000.0</v>
      </c>
      <c r="O47" s="11">
        <v>14700.0</v>
      </c>
      <c r="P47" s="11">
        <v>14700.0</v>
      </c>
      <c r="Q47" s="11">
        <v>12900.0</v>
      </c>
      <c r="R47" s="11">
        <v>9750.0</v>
      </c>
      <c r="S47" s="11">
        <v>9000.0</v>
      </c>
      <c r="T47" s="11">
        <v>7200.0</v>
      </c>
      <c r="U47" s="11">
        <v>0.0</v>
      </c>
    </row>
    <row r="48" ht="15.75" customHeight="1">
      <c r="A48" s="5">
        <v>47.0</v>
      </c>
      <c r="B48" s="6" t="s">
        <v>100</v>
      </c>
      <c r="C48" s="7" t="s">
        <v>101</v>
      </c>
      <c r="D48" s="20">
        <v>4000.0</v>
      </c>
      <c r="E48" s="9">
        <v>4000.0</v>
      </c>
      <c r="F48" s="9">
        <v>4000.0</v>
      </c>
      <c r="G48" s="9">
        <v>3500.0</v>
      </c>
      <c r="H48" s="9">
        <v>2760.0</v>
      </c>
      <c r="I48" s="9">
        <v>0.0</v>
      </c>
      <c r="J48" s="10">
        <v>0.0</v>
      </c>
      <c r="K48" s="20">
        <v>8500.0</v>
      </c>
      <c r="L48" s="11">
        <v>8500.0</v>
      </c>
      <c r="M48" s="11">
        <v>8500.0</v>
      </c>
      <c r="N48" s="11">
        <v>8000.0</v>
      </c>
      <c r="O48" s="11">
        <v>7225.0</v>
      </c>
      <c r="P48" s="11">
        <v>6120.0</v>
      </c>
      <c r="Q48" s="11">
        <v>5100.0</v>
      </c>
      <c r="R48" s="11">
        <v>3740.0</v>
      </c>
      <c r="S48" s="11">
        <v>0.0</v>
      </c>
      <c r="T48" s="11">
        <v>0.0</v>
      </c>
      <c r="U48" s="11">
        <v>0.0</v>
      </c>
    </row>
    <row r="49" ht="15.75" customHeight="1">
      <c r="A49" s="5">
        <v>48.0</v>
      </c>
      <c r="B49" s="6" t="s">
        <v>102</v>
      </c>
      <c r="C49" s="7" t="s">
        <v>103</v>
      </c>
      <c r="D49" s="21">
        <v>2800.0</v>
      </c>
      <c r="E49" s="9">
        <v>2800.0</v>
      </c>
      <c r="F49" s="9">
        <v>2500.0</v>
      </c>
      <c r="G49" s="9">
        <v>2000.0</v>
      </c>
      <c r="H49" s="9">
        <v>1000.0</v>
      </c>
      <c r="I49" s="9">
        <v>0.0</v>
      </c>
      <c r="J49" s="10">
        <v>0.0</v>
      </c>
      <c r="K49" s="21">
        <v>5000.0</v>
      </c>
      <c r="L49" s="11">
        <v>5000.0</v>
      </c>
      <c r="M49" s="11">
        <v>5000.0</v>
      </c>
      <c r="N49" s="11">
        <v>4300.0</v>
      </c>
      <c r="O49" s="11">
        <v>3700.0</v>
      </c>
      <c r="P49" s="11">
        <v>3000.0</v>
      </c>
      <c r="Q49" s="11">
        <v>2000.0</v>
      </c>
      <c r="R49" s="11">
        <v>0.0</v>
      </c>
      <c r="S49" s="11">
        <v>0.0</v>
      </c>
      <c r="T49" s="11">
        <v>0.0</v>
      </c>
      <c r="U49" s="11">
        <v>0.0</v>
      </c>
    </row>
    <row r="50" ht="15.75" customHeight="1">
      <c r="A50" s="5">
        <v>49.0</v>
      </c>
      <c r="B50" s="6" t="s">
        <v>104</v>
      </c>
      <c r="C50" s="7" t="s">
        <v>105</v>
      </c>
      <c r="D50" s="20">
        <v>4000.0</v>
      </c>
      <c r="E50" s="9">
        <v>4000.0</v>
      </c>
      <c r="F50" s="9">
        <v>4000.0</v>
      </c>
      <c r="G50" s="9">
        <v>3500.0</v>
      </c>
      <c r="H50" s="9">
        <v>2760.0</v>
      </c>
      <c r="I50" s="9">
        <v>0.0</v>
      </c>
      <c r="J50" s="10">
        <v>0.0</v>
      </c>
      <c r="K50" s="20">
        <v>8500.0</v>
      </c>
      <c r="L50" s="11">
        <v>8500.0</v>
      </c>
      <c r="M50" s="11">
        <v>8500.0</v>
      </c>
      <c r="N50" s="11">
        <v>8000.0</v>
      </c>
      <c r="O50" s="11">
        <v>7225.0</v>
      </c>
      <c r="P50" s="11">
        <v>6120.0</v>
      </c>
      <c r="Q50" s="11">
        <v>5100.0</v>
      </c>
      <c r="R50" s="11">
        <v>3740.0</v>
      </c>
      <c r="S50" s="11">
        <v>0.0</v>
      </c>
      <c r="T50" s="11">
        <v>0.0</v>
      </c>
      <c r="U50" s="11">
        <v>0.0</v>
      </c>
    </row>
    <row r="51" ht="15.75" customHeight="1">
      <c r="A51" s="5">
        <v>50.0</v>
      </c>
      <c r="B51" s="6" t="s">
        <v>106</v>
      </c>
      <c r="C51" s="7" t="s">
        <v>107</v>
      </c>
      <c r="D51" s="20">
        <v>4000.0</v>
      </c>
      <c r="E51" s="9">
        <v>4000.0</v>
      </c>
      <c r="F51" s="9">
        <v>4000.0</v>
      </c>
      <c r="G51" s="9">
        <v>3500.0</v>
      </c>
      <c r="H51" s="9">
        <v>2760.0</v>
      </c>
      <c r="I51" s="9">
        <v>0.0</v>
      </c>
      <c r="J51" s="10">
        <v>0.0</v>
      </c>
      <c r="K51" s="20">
        <v>9000.0</v>
      </c>
      <c r="L51" s="11">
        <v>9000.0</v>
      </c>
      <c r="M51" s="11">
        <v>9000.0</v>
      </c>
      <c r="N51" s="11">
        <v>9000.0</v>
      </c>
      <c r="O51" s="11">
        <v>7740.0</v>
      </c>
      <c r="P51" s="11">
        <v>6660.0</v>
      </c>
      <c r="Q51" s="11">
        <v>5580.0</v>
      </c>
      <c r="R51" s="11">
        <v>4140.0</v>
      </c>
      <c r="S51" s="11">
        <v>0.0</v>
      </c>
      <c r="T51" s="11">
        <v>0.0</v>
      </c>
      <c r="U51" s="11">
        <v>0.0</v>
      </c>
    </row>
    <row r="52" ht="15.75" customHeight="1">
      <c r="A52" s="5">
        <v>51.0</v>
      </c>
      <c r="B52" s="18" t="s">
        <v>108</v>
      </c>
      <c r="C52" s="12" t="s">
        <v>109</v>
      </c>
      <c r="D52" s="13">
        <v>1600.0</v>
      </c>
      <c r="E52" s="14">
        <v>1600.0</v>
      </c>
      <c r="F52" s="13">
        <v>600.0</v>
      </c>
      <c r="G52" s="15">
        <v>400.0</v>
      </c>
      <c r="H52" s="9">
        <v>0.0</v>
      </c>
      <c r="I52" s="9">
        <v>0.0</v>
      </c>
      <c r="J52" s="10">
        <v>0.0</v>
      </c>
      <c r="K52" s="27">
        <v>3500.0</v>
      </c>
      <c r="L52" s="28">
        <v>2500.0</v>
      </c>
      <c r="M52" s="28">
        <v>2000.0</v>
      </c>
      <c r="N52" s="28">
        <v>1500.0</v>
      </c>
      <c r="O52" s="28">
        <v>1000.0</v>
      </c>
      <c r="P52" s="17">
        <v>500.0</v>
      </c>
      <c r="Q52" s="11">
        <v>0.0</v>
      </c>
      <c r="R52" s="11">
        <v>0.0</v>
      </c>
      <c r="S52" s="11">
        <v>0.0</v>
      </c>
      <c r="T52" s="11">
        <v>0.0</v>
      </c>
      <c r="U52" s="11">
        <v>0.0</v>
      </c>
    </row>
    <row r="53" ht="15.75" customHeight="1">
      <c r="A53" s="5">
        <v>52.0</v>
      </c>
      <c r="B53" s="6" t="s">
        <v>110</v>
      </c>
      <c r="C53" s="7" t="s">
        <v>111</v>
      </c>
      <c r="D53" s="8">
        <v>6000.0</v>
      </c>
      <c r="E53" s="9">
        <v>6000.0</v>
      </c>
      <c r="F53" s="9">
        <v>6000.0</v>
      </c>
      <c r="G53" s="9">
        <v>5500.0</v>
      </c>
      <c r="H53" s="9">
        <v>4680.0</v>
      </c>
      <c r="I53" s="25">
        <v>3480.0</v>
      </c>
      <c r="J53" s="10">
        <v>2460.0</v>
      </c>
      <c r="K53" s="19">
        <v>13000.0</v>
      </c>
      <c r="L53" s="11">
        <v>13000.0</v>
      </c>
      <c r="M53" s="11">
        <v>13000.0</v>
      </c>
      <c r="N53" s="11">
        <v>13000.0</v>
      </c>
      <c r="O53" s="11">
        <v>12220.0</v>
      </c>
      <c r="P53" s="11">
        <v>11700.0</v>
      </c>
      <c r="Q53" s="11">
        <v>10140.0</v>
      </c>
      <c r="R53" s="11">
        <v>7930.0</v>
      </c>
      <c r="S53" s="11">
        <v>6240.0</v>
      </c>
      <c r="T53" s="11">
        <v>5200.0</v>
      </c>
      <c r="U53" s="11">
        <v>0.0</v>
      </c>
    </row>
    <row r="54" ht="15.75" customHeight="1">
      <c r="A54" s="5">
        <v>53.0</v>
      </c>
      <c r="B54" s="6" t="s">
        <v>112</v>
      </c>
      <c r="C54" s="7" t="s">
        <v>113</v>
      </c>
      <c r="D54" s="23">
        <v>10000.0</v>
      </c>
      <c r="E54" s="9">
        <v>10000.0</v>
      </c>
      <c r="F54" s="9">
        <v>10000.0</v>
      </c>
      <c r="G54" s="9">
        <v>9500.0</v>
      </c>
      <c r="H54" s="9">
        <v>9000.0</v>
      </c>
      <c r="I54" s="9">
        <v>6700.0</v>
      </c>
      <c r="J54" s="26">
        <v>5700.0</v>
      </c>
      <c r="K54" s="29">
        <v>18000.0</v>
      </c>
      <c r="L54" s="11">
        <v>18000.0</v>
      </c>
      <c r="M54" s="11">
        <v>18000.0</v>
      </c>
      <c r="N54" s="11">
        <v>18000.0</v>
      </c>
      <c r="O54" s="11">
        <v>18000.0</v>
      </c>
      <c r="P54" s="11">
        <v>18000.0</v>
      </c>
      <c r="Q54" s="11">
        <v>16920.0</v>
      </c>
      <c r="R54" s="11">
        <v>12960.0</v>
      </c>
      <c r="S54" s="11">
        <v>12960.0</v>
      </c>
      <c r="T54" s="11">
        <v>10800.0</v>
      </c>
      <c r="U54" s="11">
        <v>7200.0</v>
      </c>
    </row>
    <row r="55" ht="15.75" customHeight="1">
      <c r="A55" s="5">
        <v>54.0</v>
      </c>
      <c r="B55" s="6" t="s">
        <v>114</v>
      </c>
      <c r="C55" s="7" t="s">
        <v>115</v>
      </c>
      <c r="D55" s="21">
        <v>3000.0</v>
      </c>
      <c r="E55" s="9">
        <v>3000.0</v>
      </c>
      <c r="F55" s="9">
        <v>3000.0</v>
      </c>
      <c r="G55" s="9">
        <v>2500.0</v>
      </c>
      <c r="H55" s="9">
        <v>1890.0</v>
      </c>
      <c r="I55" s="9">
        <v>0.0</v>
      </c>
      <c r="J55" s="10">
        <v>0.0</v>
      </c>
      <c r="K55" s="21">
        <v>5000.0</v>
      </c>
      <c r="L55" s="11">
        <v>5000.0</v>
      </c>
      <c r="M55" s="11">
        <v>5000.0</v>
      </c>
      <c r="N55" s="11">
        <v>4300.0</v>
      </c>
      <c r="O55" s="11">
        <v>3700.0</v>
      </c>
      <c r="P55" s="11">
        <v>3000.0</v>
      </c>
      <c r="Q55" s="11">
        <v>2000.0</v>
      </c>
      <c r="R55" s="11">
        <v>0.0</v>
      </c>
      <c r="S55" s="11">
        <v>0.0</v>
      </c>
      <c r="T55" s="11">
        <v>0.0</v>
      </c>
      <c r="U55" s="11">
        <v>0.0</v>
      </c>
    </row>
    <row r="56" ht="15.75" customHeight="1">
      <c r="A56" s="5">
        <v>55.0</v>
      </c>
      <c r="B56" s="22" t="s">
        <v>116</v>
      </c>
      <c r="C56" s="7" t="s">
        <v>117</v>
      </c>
      <c r="D56" s="20">
        <v>4500.0</v>
      </c>
      <c r="E56" s="9">
        <v>4500.0</v>
      </c>
      <c r="F56" s="9">
        <v>4500.0</v>
      </c>
      <c r="G56" s="9">
        <v>4000.0</v>
      </c>
      <c r="H56" s="9">
        <v>3240.0</v>
      </c>
      <c r="I56" s="9">
        <v>2340.0</v>
      </c>
      <c r="J56" s="10">
        <v>0.0</v>
      </c>
      <c r="K56" s="21">
        <v>7000.0</v>
      </c>
      <c r="L56" s="11">
        <v>7000.0</v>
      </c>
      <c r="M56" s="11">
        <v>7000.0</v>
      </c>
      <c r="N56" s="11">
        <v>6000.0</v>
      </c>
      <c r="O56" s="11">
        <v>5340.0</v>
      </c>
      <c r="P56" s="11">
        <v>4620.0</v>
      </c>
      <c r="Q56" s="11">
        <v>3360.0</v>
      </c>
      <c r="R56" s="11">
        <v>0.0</v>
      </c>
      <c r="S56" s="11">
        <v>0.0</v>
      </c>
      <c r="T56" s="11">
        <v>0.0</v>
      </c>
      <c r="U56" s="11">
        <v>0.0</v>
      </c>
    </row>
    <row r="57" ht="15.75" customHeight="1">
      <c r="A57" s="5">
        <v>56.0</v>
      </c>
      <c r="B57" s="6" t="s">
        <v>118</v>
      </c>
      <c r="C57" s="7" t="s">
        <v>117</v>
      </c>
      <c r="D57" s="20">
        <v>4500.0</v>
      </c>
      <c r="E57" s="9">
        <v>4500.0</v>
      </c>
      <c r="F57" s="9">
        <v>4500.0</v>
      </c>
      <c r="G57" s="9">
        <v>4000.0</v>
      </c>
      <c r="H57" s="9">
        <v>3240.0</v>
      </c>
      <c r="I57" s="9">
        <v>2340.0</v>
      </c>
      <c r="J57" s="10">
        <v>0.0</v>
      </c>
      <c r="K57" s="20">
        <v>7500.0</v>
      </c>
      <c r="L57" s="11">
        <v>7500.0</v>
      </c>
      <c r="M57" s="11">
        <v>7500.0</v>
      </c>
      <c r="N57" s="11">
        <v>7000.0</v>
      </c>
      <c r="O57" s="11">
        <v>6225.0</v>
      </c>
      <c r="P57" s="11">
        <v>5100.0</v>
      </c>
      <c r="Q57" s="11">
        <v>3900.0</v>
      </c>
      <c r="R57" s="11">
        <v>3000.0</v>
      </c>
      <c r="S57" s="11">
        <v>0.0</v>
      </c>
      <c r="T57" s="11">
        <v>0.0</v>
      </c>
      <c r="U57" s="11">
        <v>0.0</v>
      </c>
    </row>
    <row r="58" ht="15.75" customHeight="1">
      <c r="A58" s="5">
        <v>57.0</v>
      </c>
      <c r="B58" s="6" t="s">
        <v>119</v>
      </c>
      <c r="C58" s="7" t="s">
        <v>120</v>
      </c>
      <c r="D58" s="19">
        <v>7500.0</v>
      </c>
      <c r="E58" s="9">
        <v>7500.0</v>
      </c>
      <c r="F58" s="9">
        <v>7500.0</v>
      </c>
      <c r="G58" s="9">
        <v>7000.0</v>
      </c>
      <c r="H58" s="9">
        <v>6075.0</v>
      </c>
      <c r="I58" s="9">
        <v>4650.0</v>
      </c>
      <c r="J58" s="10">
        <v>3525.0</v>
      </c>
      <c r="K58" s="8">
        <v>13000.0</v>
      </c>
      <c r="L58" s="11">
        <v>13000.0</v>
      </c>
      <c r="M58" s="11">
        <v>13000.0</v>
      </c>
      <c r="N58" s="11">
        <v>13000.0</v>
      </c>
      <c r="O58" s="11">
        <v>12220.0</v>
      </c>
      <c r="P58" s="11">
        <v>11700.0</v>
      </c>
      <c r="Q58" s="11">
        <v>10140.0</v>
      </c>
      <c r="R58" s="11">
        <v>7930.0</v>
      </c>
      <c r="S58" s="11">
        <v>6240.0</v>
      </c>
      <c r="T58" s="11">
        <v>5200.0</v>
      </c>
      <c r="U58" s="11">
        <v>0.0</v>
      </c>
    </row>
    <row r="59" ht="15.75" customHeight="1">
      <c r="A59" s="5">
        <v>58.0</v>
      </c>
      <c r="B59" s="6" t="s">
        <v>121</v>
      </c>
      <c r="C59" s="7" t="s">
        <v>122</v>
      </c>
      <c r="D59" s="21">
        <v>2300.0</v>
      </c>
      <c r="E59" s="9">
        <v>2300.0</v>
      </c>
      <c r="F59" s="9">
        <v>2000.0</v>
      </c>
      <c r="G59" s="9">
        <v>1500.0</v>
      </c>
      <c r="H59" s="9">
        <v>1000.0</v>
      </c>
      <c r="I59" s="9">
        <v>0.0</v>
      </c>
      <c r="J59" s="10">
        <v>0.0</v>
      </c>
      <c r="K59" s="21">
        <v>5000.0</v>
      </c>
      <c r="L59" s="11">
        <v>5000.0</v>
      </c>
      <c r="M59" s="11">
        <v>5000.0</v>
      </c>
      <c r="N59" s="11">
        <v>4300.0</v>
      </c>
      <c r="O59" s="11">
        <v>3700.0</v>
      </c>
      <c r="P59" s="11">
        <v>3000.0</v>
      </c>
      <c r="Q59" s="11">
        <v>2000.0</v>
      </c>
      <c r="R59" s="11">
        <v>0.0</v>
      </c>
      <c r="S59" s="11">
        <v>0.0</v>
      </c>
      <c r="T59" s="11">
        <v>0.0</v>
      </c>
      <c r="U59" s="11">
        <v>0.0</v>
      </c>
    </row>
    <row r="60" ht="15.75" customHeight="1">
      <c r="A60" s="5">
        <v>59.0</v>
      </c>
      <c r="B60" s="6" t="s">
        <v>123</v>
      </c>
      <c r="C60" s="12" t="s">
        <v>124</v>
      </c>
      <c r="D60" s="13">
        <v>2000.0</v>
      </c>
      <c r="E60" s="14">
        <v>2000.0</v>
      </c>
      <c r="F60" s="13">
        <v>1200.0</v>
      </c>
      <c r="G60" s="13">
        <v>800.0</v>
      </c>
      <c r="H60" s="9">
        <v>400.0</v>
      </c>
      <c r="I60" s="9">
        <v>0.0</v>
      </c>
      <c r="J60" s="10">
        <v>0.0</v>
      </c>
      <c r="K60" s="27">
        <v>4000.0</v>
      </c>
      <c r="L60" s="28">
        <v>3000.0</v>
      </c>
      <c r="M60" s="28">
        <v>3000.0</v>
      </c>
      <c r="N60" s="28">
        <v>2000.0</v>
      </c>
      <c r="O60" s="28">
        <v>1000.0</v>
      </c>
      <c r="P60" s="11">
        <v>0.0</v>
      </c>
      <c r="Q60" s="11">
        <v>0.0</v>
      </c>
      <c r="R60" s="11">
        <v>0.0</v>
      </c>
      <c r="S60" s="11">
        <v>0.0</v>
      </c>
      <c r="T60" s="11">
        <v>0.0</v>
      </c>
      <c r="U60" s="11">
        <v>0.0</v>
      </c>
    </row>
    <row r="61" ht="15.75" customHeight="1">
      <c r="A61" s="5">
        <v>60.0</v>
      </c>
      <c r="B61" s="6" t="s">
        <v>125</v>
      </c>
      <c r="C61" s="7" t="s">
        <v>126</v>
      </c>
      <c r="D61" s="8">
        <v>5500.0</v>
      </c>
      <c r="E61" s="9">
        <v>5500.0</v>
      </c>
      <c r="F61" s="9">
        <v>5500.0</v>
      </c>
      <c r="G61" s="9">
        <v>5000.0</v>
      </c>
      <c r="H61" s="9">
        <v>4180.0</v>
      </c>
      <c r="I61" s="25">
        <v>3080.0</v>
      </c>
      <c r="J61" s="10">
        <v>2090.0</v>
      </c>
      <c r="K61" s="8">
        <v>12000.0</v>
      </c>
      <c r="L61" s="11">
        <v>12000.0</v>
      </c>
      <c r="M61" s="11">
        <v>12000.0</v>
      </c>
      <c r="N61" s="11">
        <v>12000.0</v>
      </c>
      <c r="O61" s="11">
        <v>11040.0</v>
      </c>
      <c r="P61" s="11">
        <v>10320.0</v>
      </c>
      <c r="Q61" s="11">
        <v>8880.0</v>
      </c>
      <c r="R61" s="24">
        <v>6960.0</v>
      </c>
      <c r="S61" s="11">
        <v>5040.0</v>
      </c>
      <c r="T61" s="11">
        <v>0.0</v>
      </c>
      <c r="U61" s="11">
        <v>0.0</v>
      </c>
    </row>
    <row r="62" ht="15.75" customHeight="1">
      <c r="A62" s="5">
        <v>61.0</v>
      </c>
      <c r="B62" s="6" t="s">
        <v>127</v>
      </c>
      <c r="C62" s="12" t="s">
        <v>128</v>
      </c>
      <c r="D62" s="13">
        <v>2000.0</v>
      </c>
      <c r="E62" s="13">
        <v>1500.0</v>
      </c>
      <c r="F62" s="13">
        <v>1200.0</v>
      </c>
      <c r="G62" s="13">
        <v>800.0</v>
      </c>
      <c r="H62" s="9">
        <v>400.0</v>
      </c>
      <c r="I62" s="9">
        <v>0.0</v>
      </c>
      <c r="J62" s="10">
        <v>0.0</v>
      </c>
      <c r="K62" s="27">
        <v>4000.0</v>
      </c>
      <c r="L62" s="28">
        <v>3000.0</v>
      </c>
      <c r="M62" s="28">
        <v>3000.0</v>
      </c>
      <c r="N62" s="28">
        <v>2000.0</v>
      </c>
      <c r="O62" s="28">
        <v>1000.0</v>
      </c>
      <c r="P62" s="11">
        <v>0.0</v>
      </c>
      <c r="Q62" s="11">
        <v>0.0</v>
      </c>
      <c r="R62" s="11">
        <v>0.0</v>
      </c>
      <c r="S62" s="11">
        <v>0.0</v>
      </c>
      <c r="T62" s="11">
        <v>0.0</v>
      </c>
      <c r="U62" s="11">
        <v>0.0</v>
      </c>
    </row>
    <row r="63" ht="15.75" customHeight="1">
      <c r="A63" s="5">
        <v>62.0</v>
      </c>
      <c r="B63" s="6" t="s">
        <v>129</v>
      </c>
      <c r="C63" s="7" t="s">
        <v>130</v>
      </c>
      <c r="D63" s="8">
        <v>7000.0</v>
      </c>
      <c r="E63" s="9">
        <v>7000.0</v>
      </c>
      <c r="F63" s="9">
        <v>7000.0</v>
      </c>
      <c r="G63" s="9">
        <v>6500.0</v>
      </c>
      <c r="H63" s="9">
        <v>5600.0</v>
      </c>
      <c r="I63" s="9">
        <v>4270.0</v>
      </c>
      <c r="J63" s="10">
        <v>3150.0</v>
      </c>
      <c r="K63" s="19">
        <v>14500.0</v>
      </c>
      <c r="L63" s="11">
        <v>14500.0</v>
      </c>
      <c r="M63" s="11">
        <v>14500.0</v>
      </c>
      <c r="N63" s="11">
        <v>14500.0</v>
      </c>
      <c r="O63" s="11">
        <v>14065.0</v>
      </c>
      <c r="P63" s="11">
        <v>13920.0</v>
      </c>
      <c r="Q63" s="11">
        <v>12180.0</v>
      </c>
      <c r="R63" s="11">
        <v>9280.0</v>
      </c>
      <c r="S63" s="11">
        <v>8265.0</v>
      </c>
      <c r="T63" s="11">
        <v>6670.0</v>
      </c>
      <c r="U63" s="11">
        <v>0.0</v>
      </c>
    </row>
    <row r="64" ht="15.75" customHeight="1">
      <c r="A64" s="5">
        <v>63.0</v>
      </c>
      <c r="B64" s="6" t="s">
        <v>131</v>
      </c>
      <c r="C64" s="12" t="s">
        <v>132</v>
      </c>
      <c r="D64" s="13">
        <v>1700.0</v>
      </c>
      <c r="E64" s="13">
        <v>800.0</v>
      </c>
      <c r="F64" s="13">
        <v>600.0</v>
      </c>
      <c r="G64" s="15">
        <v>400.0</v>
      </c>
      <c r="H64" s="9">
        <v>0.0</v>
      </c>
      <c r="I64" s="9">
        <v>0.0</v>
      </c>
      <c r="J64" s="10">
        <v>0.0</v>
      </c>
      <c r="K64" s="27">
        <v>4000.0</v>
      </c>
      <c r="L64" s="28">
        <v>2500.0</v>
      </c>
      <c r="M64" s="28">
        <v>2000.0</v>
      </c>
      <c r="N64" s="28">
        <v>1500.0</v>
      </c>
      <c r="O64" s="28">
        <v>1000.0</v>
      </c>
      <c r="P64" s="17">
        <v>500.0</v>
      </c>
      <c r="Q64" s="11">
        <v>0.0</v>
      </c>
      <c r="R64" s="11">
        <v>0.0</v>
      </c>
      <c r="S64" s="11">
        <v>0.0</v>
      </c>
      <c r="T64" s="11">
        <v>0.0</v>
      </c>
      <c r="U64" s="11">
        <v>0.0</v>
      </c>
    </row>
    <row r="65" ht="15.75" customHeight="1">
      <c r="A65" s="5">
        <v>64.0</v>
      </c>
      <c r="B65" s="6" t="s">
        <v>133</v>
      </c>
      <c r="C65" s="12" t="s">
        <v>134</v>
      </c>
      <c r="D65" s="13">
        <v>2000.0</v>
      </c>
      <c r="E65" s="13">
        <v>1500.0</v>
      </c>
      <c r="F65" s="13">
        <v>1200.0</v>
      </c>
      <c r="G65" s="13">
        <v>800.0</v>
      </c>
      <c r="H65" s="15">
        <v>400.0</v>
      </c>
      <c r="I65" s="9">
        <v>0.0</v>
      </c>
      <c r="J65" s="10">
        <v>0.0</v>
      </c>
      <c r="K65" s="27">
        <v>4000.0</v>
      </c>
      <c r="L65" s="28">
        <v>2500.0</v>
      </c>
      <c r="M65" s="28">
        <v>2000.0</v>
      </c>
      <c r="N65" s="28">
        <v>1500.0</v>
      </c>
      <c r="O65" s="28">
        <v>1000.0</v>
      </c>
      <c r="P65" s="17">
        <v>500.0</v>
      </c>
      <c r="Q65" s="11">
        <v>0.0</v>
      </c>
      <c r="R65" s="11">
        <v>0.0</v>
      </c>
      <c r="S65" s="11">
        <v>0.0</v>
      </c>
      <c r="T65" s="11">
        <v>0.0</v>
      </c>
      <c r="U65" s="11">
        <v>0.0</v>
      </c>
    </row>
    <row r="66" ht="15.75" customHeight="1">
      <c r="A66" s="5">
        <v>65.0</v>
      </c>
      <c r="B66" s="6" t="s">
        <v>135</v>
      </c>
      <c r="C66" s="30" t="s">
        <v>136</v>
      </c>
      <c r="D66" s="27">
        <v>2300.0</v>
      </c>
      <c r="E66" s="27">
        <v>1600.0</v>
      </c>
      <c r="F66" s="27">
        <v>1300.0</v>
      </c>
      <c r="G66" s="27">
        <v>800.0</v>
      </c>
      <c r="H66" s="15">
        <v>400.0</v>
      </c>
      <c r="I66" s="9">
        <v>0.0</v>
      </c>
      <c r="J66" s="10">
        <v>0.0</v>
      </c>
      <c r="K66" s="27">
        <v>4000.0</v>
      </c>
      <c r="L66" s="28">
        <v>3500.0</v>
      </c>
      <c r="M66" s="28">
        <v>3000.0</v>
      </c>
      <c r="N66" s="28">
        <v>2500.0</v>
      </c>
      <c r="O66" s="28">
        <v>1500.0</v>
      </c>
      <c r="P66" s="17">
        <v>1000.0</v>
      </c>
      <c r="Q66" s="11">
        <v>0.0</v>
      </c>
      <c r="R66" s="11">
        <v>0.0</v>
      </c>
      <c r="S66" s="11">
        <v>0.0</v>
      </c>
      <c r="T66" s="11">
        <v>0.0</v>
      </c>
      <c r="U66" s="11">
        <v>0.0</v>
      </c>
    </row>
    <row r="67" ht="15.75" customHeight="1">
      <c r="A67" s="5">
        <v>66.0</v>
      </c>
      <c r="B67" s="6" t="s">
        <v>137</v>
      </c>
      <c r="C67" s="12" t="s">
        <v>138</v>
      </c>
      <c r="D67" s="13">
        <v>1600.0</v>
      </c>
      <c r="E67" s="14">
        <v>1600.0</v>
      </c>
      <c r="F67" s="14">
        <v>1200.0</v>
      </c>
      <c r="G67" s="31">
        <v>800.0</v>
      </c>
      <c r="H67" s="9">
        <v>0.0</v>
      </c>
      <c r="I67" s="9">
        <v>0.0</v>
      </c>
      <c r="J67" s="10">
        <v>0.0</v>
      </c>
      <c r="K67" s="27">
        <v>3500.0</v>
      </c>
      <c r="L67" s="28">
        <v>3000.0</v>
      </c>
      <c r="M67" s="28">
        <v>3000.0</v>
      </c>
      <c r="N67" s="28">
        <v>2300.0</v>
      </c>
      <c r="O67" s="28">
        <v>1300.0</v>
      </c>
      <c r="P67" s="17">
        <v>800.0</v>
      </c>
      <c r="Q67" s="11">
        <v>0.0</v>
      </c>
      <c r="R67" s="11">
        <v>0.0</v>
      </c>
      <c r="S67" s="11">
        <v>0.0</v>
      </c>
      <c r="T67" s="11">
        <v>0.0</v>
      </c>
      <c r="U67" s="11">
        <v>0.0</v>
      </c>
    </row>
    <row r="68" ht="15.75" customHeight="1">
      <c r="A68" s="5">
        <v>67.0</v>
      </c>
      <c r="B68" s="6" t="s">
        <v>139</v>
      </c>
      <c r="C68" s="7" t="s">
        <v>140</v>
      </c>
      <c r="D68" s="23">
        <v>11000.0</v>
      </c>
      <c r="E68" s="9">
        <v>11000.0</v>
      </c>
      <c r="F68" s="9">
        <v>11000.0</v>
      </c>
      <c r="G68" s="9">
        <v>10500.0</v>
      </c>
      <c r="H68" s="9">
        <v>9900.0</v>
      </c>
      <c r="I68" s="25">
        <v>7590.0</v>
      </c>
      <c r="J68" s="10">
        <v>6435.0</v>
      </c>
      <c r="K68" s="23">
        <v>21000.0</v>
      </c>
      <c r="L68" s="11">
        <v>21000.0</v>
      </c>
      <c r="M68" s="11">
        <v>21000.0</v>
      </c>
      <c r="N68" s="11">
        <v>21000.0</v>
      </c>
      <c r="O68" s="11">
        <v>21000.0</v>
      </c>
      <c r="P68" s="11">
        <v>21000.0</v>
      </c>
      <c r="Q68" s="11">
        <v>19950.0</v>
      </c>
      <c r="R68" s="11">
        <v>17640.0</v>
      </c>
      <c r="S68" s="11">
        <v>16800.0</v>
      </c>
      <c r="T68" s="11">
        <v>12600.0</v>
      </c>
      <c r="U68" s="11">
        <v>8400.0</v>
      </c>
    </row>
    <row r="69" ht="15.75" customHeight="1">
      <c r="A69" s="5">
        <v>68.0</v>
      </c>
      <c r="B69" s="6" t="s">
        <v>141</v>
      </c>
      <c r="C69" s="7" t="s">
        <v>142</v>
      </c>
      <c r="D69" s="8">
        <v>6500.0</v>
      </c>
      <c r="E69" s="9">
        <v>6500.0</v>
      </c>
      <c r="F69" s="9">
        <v>6500.0</v>
      </c>
      <c r="G69" s="9">
        <v>6000.0</v>
      </c>
      <c r="H69" s="9">
        <v>5135.0</v>
      </c>
      <c r="I69" s="9">
        <v>3900.0</v>
      </c>
      <c r="J69" s="10">
        <v>2795.0</v>
      </c>
      <c r="K69" s="8">
        <v>13000.0</v>
      </c>
      <c r="L69" s="11">
        <v>13000.0</v>
      </c>
      <c r="M69" s="11">
        <v>13000.0</v>
      </c>
      <c r="N69" s="11">
        <v>13000.0</v>
      </c>
      <c r="O69" s="11">
        <v>12220.0</v>
      </c>
      <c r="P69" s="11">
        <v>11700.0</v>
      </c>
      <c r="Q69" s="11">
        <v>10140.0</v>
      </c>
      <c r="R69" s="11">
        <v>7930.0</v>
      </c>
      <c r="S69" s="11">
        <v>6240.0</v>
      </c>
      <c r="T69" s="11">
        <v>5200.0</v>
      </c>
      <c r="U69" s="11">
        <v>0.0</v>
      </c>
    </row>
    <row r="70" ht="15.75" customHeight="1">
      <c r="A70" s="5">
        <v>69.0</v>
      </c>
      <c r="B70" s="6" t="s">
        <v>143</v>
      </c>
      <c r="C70" s="12" t="s">
        <v>144</v>
      </c>
      <c r="D70" s="13">
        <v>2000.0</v>
      </c>
      <c r="E70" s="13">
        <v>1500.0</v>
      </c>
      <c r="F70" s="13">
        <v>1200.0</v>
      </c>
      <c r="G70" s="13">
        <v>800.0</v>
      </c>
      <c r="H70" s="15">
        <v>400.0</v>
      </c>
      <c r="I70" s="9">
        <v>0.0</v>
      </c>
      <c r="J70" s="10">
        <v>0.0</v>
      </c>
      <c r="K70" s="21">
        <v>5000.0</v>
      </c>
      <c r="L70" s="11">
        <v>5000.0</v>
      </c>
      <c r="M70" s="11">
        <v>5000.0</v>
      </c>
      <c r="N70" s="11">
        <v>4300.0</v>
      </c>
      <c r="O70" s="11">
        <v>3700.0</v>
      </c>
      <c r="P70" s="11">
        <v>3000.0</v>
      </c>
      <c r="Q70" s="11">
        <v>2000.0</v>
      </c>
      <c r="R70" s="11">
        <v>0.0</v>
      </c>
      <c r="S70" s="11">
        <v>0.0</v>
      </c>
      <c r="T70" s="11">
        <v>0.0</v>
      </c>
      <c r="U70" s="11">
        <v>0.0</v>
      </c>
    </row>
    <row r="71" ht="15.75" customHeight="1">
      <c r="A71" s="5">
        <v>70.0</v>
      </c>
      <c r="B71" s="22" t="s">
        <v>145</v>
      </c>
      <c r="C71" s="7" t="s">
        <v>146</v>
      </c>
      <c r="D71" s="23">
        <v>11000.0</v>
      </c>
      <c r="E71" s="9">
        <v>11000.0</v>
      </c>
      <c r="F71" s="9">
        <v>11000.0</v>
      </c>
      <c r="G71" s="9">
        <v>10500.0</v>
      </c>
      <c r="H71" s="9">
        <v>9900.0</v>
      </c>
      <c r="I71" s="25">
        <v>7590.0</v>
      </c>
      <c r="J71" s="10">
        <v>6435.0</v>
      </c>
      <c r="K71" s="23">
        <v>20000.0</v>
      </c>
      <c r="L71" s="11">
        <v>20000.0</v>
      </c>
      <c r="M71" s="11">
        <v>20000.0</v>
      </c>
      <c r="N71" s="11">
        <v>20000.0</v>
      </c>
      <c r="O71" s="11">
        <v>20000.0</v>
      </c>
      <c r="P71" s="11">
        <v>20000.0</v>
      </c>
      <c r="Q71" s="11">
        <v>19000.0</v>
      </c>
      <c r="R71" s="11">
        <v>16000.0</v>
      </c>
      <c r="S71" s="11">
        <v>16000.0</v>
      </c>
      <c r="T71" s="11">
        <v>12000.0</v>
      </c>
      <c r="U71" s="11">
        <v>8000.0</v>
      </c>
    </row>
    <row r="72" ht="15.75" customHeight="1">
      <c r="A72" s="5">
        <v>71.0</v>
      </c>
      <c r="B72" s="6" t="s">
        <v>147</v>
      </c>
      <c r="C72" s="7" t="s">
        <v>146</v>
      </c>
      <c r="D72" s="23">
        <v>11000.0</v>
      </c>
      <c r="E72" s="9">
        <v>11000.0</v>
      </c>
      <c r="F72" s="9">
        <v>11000.0</v>
      </c>
      <c r="G72" s="9">
        <v>10500.0</v>
      </c>
      <c r="H72" s="9">
        <v>9900.0</v>
      </c>
      <c r="I72" s="25">
        <v>7590.0</v>
      </c>
      <c r="J72" s="10">
        <v>6435.0</v>
      </c>
      <c r="K72" s="23">
        <v>20000.0</v>
      </c>
      <c r="L72" s="11">
        <v>20000.0</v>
      </c>
      <c r="M72" s="11">
        <v>20000.0</v>
      </c>
      <c r="N72" s="11">
        <v>20000.0</v>
      </c>
      <c r="O72" s="11">
        <v>20000.0</v>
      </c>
      <c r="P72" s="11">
        <v>20000.0</v>
      </c>
      <c r="Q72" s="11">
        <v>19000.0</v>
      </c>
      <c r="R72" s="11">
        <v>16000.0</v>
      </c>
      <c r="S72" s="11">
        <v>16000.0</v>
      </c>
      <c r="T72" s="11">
        <v>12000.0</v>
      </c>
      <c r="U72" s="11">
        <v>8000.0</v>
      </c>
    </row>
    <row r="73" ht="15.75" customHeight="1">
      <c r="A73" s="5">
        <v>72.0</v>
      </c>
      <c r="B73" s="6" t="s">
        <v>148</v>
      </c>
      <c r="C73" s="7" t="s">
        <v>149</v>
      </c>
      <c r="D73" s="20">
        <v>5000.0</v>
      </c>
      <c r="E73" s="9">
        <v>5000.0</v>
      </c>
      <c r="F73" s="9">
        <v>5000.0</v>
      </c>
      <c r="G73" s="9">
        <v>4500.0</v>
      </c>
      <c r="H73" s="9">
        <v>3700.0</v>
      </c>
      <c r="I73" s="9">
        <v>2700.0</v>
      </c>
      <c r="J73" s="10">
        <v>0.0</v>
      </c>
      <c r="K73" s="20">
        <v>10000.0</v>
      </c>
      <c r="L73" s="11">
        <v>10000.0</v>
      </c>
      <c r="M73" s="11">
        <v>10000.0</v>
      </c>
      <c r="N73" s="11">
        <v>10000.0</v>
      </c>
      <c r="O73" s="11">
        <v>8800.0</v>
      </c>
      <c r="P73" s="11">
        <v>7800.0</v>
      </c>
      <c r="Q73" s="11">
        <v>6600.0</v>
      </c>
      <c r="R73" s="11">
        <v>5000.0</v>
      </c>
      <c r="S73" s="11">
        <v>3000.0</v>
      </c>
      <c r="T73" s="11">
        <v>0.0</v>
      </c>
      <c r="U73" s="11">
        <v>0.0</v>
      </c>
    </row>
    <row r="74" ht="15.75" customHeight="1">
      <c r="A74" s="5">
        <v>73.0</v>
      </c>
      <c r="B74" s="6" t="s">
        <v>150</v>
      </c>
      <c r="C74" s="12" t="s">
        <v>151</v>
      </c>
      <c r="D74" s="13">
        <v>2000.0</v>
      </c>
      <c r="E74" s="14">
        <v>2000.0</v>
      </c>
      <c r="F74" s="13">
        <v>1200.0</v>
      </c>
      <c r="G74" s="13">
        <v>800.0</v>
      </c>
      <c r="H74" s="15">
        <v>400.0</v>
      </c>
      <c r="I74" s="9">
        <v>0.0</v>
      </c>
      <c r="J74" s="10">
        <v>0.0</v>
      </c>
      <c r="K74" s="27">
        <v>4000.0</v>
      </c>
      <c r="L74" s="28">
        <v>3500.0</v>
      </c>
      <c r="M74" s="28">
        <v>3500.0</v>
      </c>
      <c r="N74" s="28">
        <v>2500.0</v>
      </c>
      <c r="O74" s="28">
        <v>1500.0</v>
      </c>
      <c r="P74" s="17">
        <v>1000.0</v>
      </c>
      <c r="Q74" s="11">
        <v>0.0</v>
      </c>
      <c r="R74" s="11">
        <v>0.0</v>
      </c>
      <c r="S74" s="11">
        <v>0.0</v>
      </c>
      <c r="T74" s="11">
        <v>0.0</v>
      </c>
      <c r="U74" s="11">
        <v>0.0</v>
      </c>
    </row>
    <row r="75" ht="15.75" customHeight="1">
      <c r="A75" s="5">
        <v>74.0</v>
      </c>
      <c r="B75" s="6" t="s">
        <v>152</v>
      </c>
      <c r="C75" s="7" t="s">
        <v>153</v>
      </c>
      <c r="D75" s="19">
        <v>8000.0</v>
      </c>
      <c r="E75" s="9">
        <v>8000.0</v>
      </c>
      <c r="F75" s="9">
        <v>8000.0</v>
      </c>
      <c r="G75" s="9">
        <v>7500.0</v>
      </c>
      <c r="H75" s="9">
        <v>6560.0</v>
      </c>
      <c r="I75" s="9">
        <v>5040.0</v>
      </c>
      <c r="J75" s="10">
        <v>3920.0</v>
      </c>
      <c r="K75" s="29">
        <v>16000.0</v>
      </c>
      <c r="L75" s="11">
        <v>16000.0</v>
      </c>
      <c r="M75" s="11">
        <v>16000.0</v>
      </c>
      <c r="N75" s="11">
        <v>16000.0</v>
      </c>
      <c r="O75" s="11">
        <v>16000.0</v>
      </c>
      <c r="P75" s="11">
        <v>16000.0</v>
      </c>
      <c r="Q75" s="11">
        <v>14400.0</v>
      </c>
      <c r="R75" s="11">
        <v>10720.0</v>
      </c>
      <c r="S75" s="11">
        <v>10240.0</v>
      </c>
      <c r="T75" s="11">
        <v>8320.0</v>
      </c>
      <c r="U75" s="11">
        <v>0.0</v>
      </c>
    </row>
    <row r="76" ht="15.75" customHeight="1">
      <c r="A76" s="5">
        <v>75.0</v>
      </c>
      <c r="B76" s="6" t="s">
        <v>154</v>
      </c>
      <c r="C76" s="7" t="s">
        <v>155</v>
      </c>
      <c r="D76" s="20">
        <v>4500.0</v>
      </c>
      <c r="E76" s="9">
        <v>4500.0</v>
      </c>
      <c r="F76" s="9">
        <v>4500.0</v>
      </c>
      <c r="G76" s="9">
        <v>4000.0</v>
      </c>
      <c r="H76" s="9">
        <v>3240.0</v>
      </c>
      <c r="I76" s="9">
        <v>2340.0</v>
      </c>
      <c r="J76" s="10">
        <v>0.0</v>
      </c>
      <c r="K76" s="20">
        <v>10000.0</v>
      </c>
      <c r="L76" s="11">
        <v>10000.0</v>
      </c>
      <c r="M76" s="11">
        <v>10000.0</v>
      </c>
      <c r="N76" s="11">
        <v>10000.0</v>
      </c>
      <c r="O76" s="11">
        <v>8800.0</v>
      </c>
      <c r="P76" s="11">
        <v>7800.0</v>
      </c>
      <c r="Q76" s="11">
        <v>6600.0</v>
      </c>
      <c r="R76" s="11">
        <v>5000.0</v>
      </c>
      <c r="S76" s="11">
        <v>3000.0</v>
      </c>
      <c r="T76" s="11">
        <v>0.0</v>
      </c>
      <c r="U76" s="11">
        <v>0.0</v>
      </c>
    </row>
    <row r="77" ht="15.75" customHeight="1">
      <c r="A77" s="5">
        <v>76.0</v>
      </c>
      <c r="B77" s="22" t="s">
        <v>156</v>
      </c>
      <c r="C77" s="7" t="s">
        <v>157</v>
      </c>
      <c r="D77" s="19">
        <v>8000.0</v>
      </c>
      <c r="E77" s="9">
        <v>8000.0</v>
      </c>
      <c r="F77" s="9">
        <v>8000.0</v>
      </c>
      <c r="G77" s="9">
        <v>7500.0</v>
      </c>
      <c r="H77" s="9">
        <v>6560.0</v>
      </c>
      <c r="I77" s="9">
        <v>5040.0</v>
      </c>
      <c r="J77" s="10">
        <v>3920.0</v>
      </c>
      <c r="K77" s="8">
        <v>12000.0</v>
      </c>
      <c r="L77" s="11">
        <v>12000.0</v>
      </c>
      <c r="M77" s="11">
        <v>12000.0</v>
      </c>
      <c r="N77" s="11">
        <v>12000.0</v>
      </c>
      <c r="O77" s="11">
        <v>11040.0</v>
      </c>
      <c r="P77" s="11">
        <v>10320.0</v>
      </c>
      <c r="Q77" s="11">
        <v>8880.0</v>
      </c>
      <c r="R77" s="24">
        <v>6960.0</v>
      </c>
      <c r="S77" s="11">
        <v>5040.0</v>
      </c>
      <c r="T77" s="11">
        <v>0.0</v>
      </c>
      <c r="U77" s="11">
        <v>0.0</v>
      </c>
    </row>
    <row r="78" ht="15.75" customHeight="1">
      <c r="A78" s="5">
        <v>77.0</v>
      </c>
      <c r="B78" s="6" t="s">
        <v>158</v>
      </c>
      <c r="C78" s="7" t="s">
        <v>157</v>
      </c>
      <c r="D78" s="8">
        <v>5500.0</v>
      </c>
      <c r="E78" s="9">
        <v>5500.0</v>
      </c>
      <c r="F78" s="9">
        <v>5500.0</v>
      </c>
      <c r="G78" s="9">
        <v>5000.0</v>
      </c>
      <c r="H78" s="9">
        <v>4180.0</v>
      </c>
      <c r="I78" s="25">
        <v>3080.0</v>
      </c>
      <c r="J78" s="10">
        <v>2090.0</v>
      </c>
      <c r="K78" s="20">
        <v>9500.0</v>
      </c>
      <c r="L78" s="11">
        <v>9500.0</v>
      </c>
      <c r="M78" s="11">
        <v>9500.0</v>
      </c>
      <c r="N78" s="11">
        <v>9500.0</v>
      </c>
      <c r="O78" s="11">
        <v>8265.0</v>
      </c>
      <c r="P78" s="11">
        <v>7220.0</v>
      </c>
      <c r="Q78" s="11">
        <v>6080.0</v>
      </c>
      <c r="R78" s="11">
        <v>4560.0</v>
      </c>
      <c r="S78" s="11">
        <v>0.0</v>
      </c>
      <c r="T78" s="11">
        <v>0.0</v>
      </c>
      <c r="U78" s="11">
        <v>0.0</v>
      </c>
    </row>
    <row r="79" ht="15.75" customHeight="1">
      <c r="A79" s="5">
        <v>78.0</v>
      </c>
      <c r="B79" s="6" t="s">
        <v>159</v>
      </c>
      <c r="C79" s="7" t="s">
        <v>160</v>
      </c>
      <c r="D79" s="23">
        <v>10000.0</v>
      </c>
      <c r="E79" s="9">
        <v>10000.0</v>
      </c>
      <c r="F79" s="9">
        <v>10000.0</v>
      </c>
      <c r="G79" s="9">
        <v>9500.0</v>
      </c>
      <c r="H79" s="9">
        <v>9000.0</v>
      </c>
      <c r="I79" s="9">
        <v>6700.0</v>
      </c>
      <c r="J79" s="26">
        <v>5700.0</v>
      </c>
      <c r="K79" s="23">
        <v>19000.0</v>
      </c>
      <c r="L79" s="11">
        <v>19000.0</v>
      </c>
      <c r="M79" s="11">
        <v>19000.0</v>
      </c>
      <c r="N79" s="11">
        <v>19000.0</v>
      </c>
      <c r="O79" s="11">
        <v>19000.0</v>
      </c>
      <c r="P79" s="11">
        <v>19000.0</v>
      </c>
      <c r="Q79" s="11">
        <v>18050.0</v>
      </c>
      <c r="R79" s="11">
        <v>14440.0</v>
      </c>
      <c r="S79" s="11">
        <v>14440.0</v>
      </c>
      <c r="T79" s="11">
        <v>11400.0</v>
      </c>
      <c r="U79" s="11">
        <v>7600.0</v>
      </c>
    </row>
    <row r="80" ht="15.75" customHeight="1">
      <c r="A80" s="5">
        <v>79.0</v>
      </c>
      <c r="B80" s="22" t="s">
        <v>161</v>
      </c>
      <c r="C80" s="12" t="s">
        <v>162</v>
      </c>
      <c r="D80" s="13">
        <v>1500.0</v>
      </c>
      <c r="E80" s="14">
        <v>1500.0</v>
      </c>
      <c r="F80" s="13">
        <v>500.0</v>
      </c>
      <c r="G80" s="9">
        <v>0.0</v>
      </c>
      <c r="H80" s="9">
        <v>0.0</v>
      </c>
      <c r="I80" s="9">
        <v>0.0</v>
      </c>
      <c r="J80" s="10">
        <v>0.0</v>
      </c>
      <c r="K80" s="27">
        <v>3000.0</v>
      </c>
      <c r="L80" s="28">
        <v>2000.0</v>
      </c>
      <c r="M80" s="28">
        <v>1500.0</v>
      </c>
      <c r="N80" s="28">
        <v>1000.0</v>
      </c>
      <c r="O80" s="11">
        <v>0.0</v>
      </c>
      <c r="P80" s="11">
        <v>0.0</v>
      </c>
      <c r="Q80" s="11">
        <v>0.0</v>
      </c>
      <c r="R80" s="11">
        <v>0.0</v>
      </c>
      <c r="S80" s="11">
        <v>0.0</v>
      </c>
      <c r="T80" s="11">
        <v>0.0</v>
      </c>
      <c r="U80" s="11">
        <v>0.0</v>
      </c>
    </row>
    <row r="81" ht="15.75" customHeight="1">
      <c r="A81" s="5">
        <v>80.0</v>
      </c>
      <c r="B81" s="6" t="s">
        <v>163</v>
      </c>
      <c r="C81" s="12" t="s">
        <v>162</v>
      </c>
      <c r="D81" s="13">
        <v>1500.0</v>
      </c>
      <c r="E81" s="14">
        <v>1500.0</v>
      </c>
      <c r="F81" s="13">
        <v>500.0</v>
      </c>
      <c r="G81" s="9">
        <v>0.0</v>
      </c>
      <c r="H81" s="9">
        <v>0.0</v>
      </c>
      <c r="I81" s="9">
        <v>0.0</v>
      </c>
      <c r="J81" s="10">
        <v>0.0</v>
      </c>
      <c r="K81" s="27">
        <v>3000.0</v>
      </c>
      <c r="L81" s="28">
        <v>2000.0</v>
      </c>
      <c r="M81" s="28">
        <v>1500.0</v>
      </c>
      <c r="N81" s="28">
        <v>1000.0</v>
      </c>
      <c r="O81" s="11">
        <v>0.0</v>
      </c>
      <c r="P81" s="11">
        <v>0.0</v>
      </c>
      <c r="Q81" s="11">
        <v>0.0</v>
      </c>
      <c r="R81" s="11">
        <v>0.0</v>
      </c>
      <c r="S81" s="11">
        <v>0.0</v>
      </c>
      <c r="T81" s="11">
        <v>0.0</v>
      </c>
      <c r="U81" s="11">
        <v>0.0</v>
      </c>
    </row>
    <row r="82" ht="15.75" customHeight="1">
      <c r="A82" s="5">
        <v>81.0</v>
      </c>
      <c r="B82" s="22" t="s">
        <v>164</v>
      </c>
      <c r="C82" s="7" t="s">
        <v>165</v>
      </c>
      <c r="D82" s="19">
        <v>7500.0</v>
      </c>
      <c r="E82" s="9">
        <v>7500.0</v>
      </c>
      <c r="F82" s="9">
        <v>7500.0</v>
      </c>
      <c r="G82" s="9">
        <v>7000.0</v>
      </c>
      <c r="H82" s="9">
        <v>6075.0</v>
      </c>
      <c r="I82" s="9">
        <v>4650.0</v>
      </c>
      <c r="J82" s="10">
        <v>3525.0</v>
      </c>
      <c r="K82" s="19">
        <v>15000.0</v>
      </c>
      <c r="L82" s="11">
        <v>15000.0</v>
      </c>
      <c r="M82" s="11">
        <v>15000.0</v>
      </c>
      <c r="N82" s="11">
        <v>15000.0</v>
      </c>
      <c r="O82" s="11">
        <v>14700.0</v>
      </c>
      <c r="P82" s="11">
        <v>14700.0</v>
      </c>
      <c r="Q82" s="11">
        <v>12900.0</v>
      </c>
      <c r="R82" s="11">
        <v>9750.0</v>
      </c>
      <c r="S82" s="11">
        <v>9000.0</v>
      </c>
      <c r="T82" s="11">
        <v>7200.0</v>
      </c>
      <c r="U82" s="11">
        <v>0.0</v>
      </c>
    </row>
    <row r="83" ht="15.75" customHeight="1">
      <c r="A83" s="5">
        <v>82.0</v>
      </c>
      <c r="B83" s="6" t="s">
        <v>166</v>
      </c>
      <c r="C83" s="7" t="s">
        <v>165</v>
      </c>
      <c r="D83" s="8">
        <v>7000.0</v>
      </c>
      <c r="E83" s="9">
        <v>7000.0</v>
      </c>
      <c r="F83" s="9">
        <v>7000.0</v>
      </c>
      <c r="G83" s="9">
        <v>6500.0</v>
      </c>
      <c r="H83" s="9">
        <v>5600.0</v>
      </c>
      <c r="I83" s="9">
        <v>4270.0</v>
      </c>
      <c r="J83" s="10">
        <v>3150.0</v>
      </c>
      <c r="K83" s="8">
        <v>14000.0</v>
      </c>
      <c r="L83" s="11">
        <v>14000.0</v>
      </c>
      <c r="M83" s="11">
        <v>14000.0</v>
      </c>
      <c r="N83" s="11">
        <v>14000.0</v>
      </c>
      <c r="O83" s="11">
        <v>13440.0</v>
      </c>
      <c r="P83" s="11">
        <v>13160.0</v>
      </c>
      <c r="Q83" s="11">
        <v>11480.0</v>
      </c>
      <c r="R83" s="11">
        <v>8820.0</v>
      </c>
      <c r="S83" s="24">
        <v>7560.0</v>
      </c>
      <c r="T83" s="11">
        <v>6160.0</v>
      </c>
      <c r="U83" s="11">
        <v>0.0</v>
      </c>
    </row>
    <row r="84" ht="15.75" customHeight="1">
      <c r="A84" s="5">
        <v>83.0</v>
      </c>
      <c r="B84" s="6" t="s">
        <v>167</v>
      </c>
      <c r="C84" s="7" t="s">
        <v>168</v>
      </c>
      <c r="D84" s="8">
        <v>6500.0</v>
      </c>
      <c r="E84" s="9">
        <v>6500.0</v>
      </c>
      <c r="F84" s="9">
        <v>6500.0</v>
      </c>
      <c r="G84" s="9">
        <v>6000.0</v>
      </c>
      <c r="H84" s="9">
        <v>5135.0</v>
      </c>
      <c r="I84" s="9">
        <v>3900.0</v>
      </c>
      <c r="J84" s="10">
        <v>2795.0</v>
      </c>
      <c r="K84" s="8">
        <v>13000.0</v>
      </c>
      <c r="L84" s="11">
        <v>13000.0</v>
      </c>
      <c r="M84" s="11">
        <v>13000.0</v>
      </c>
      <c r="N84" s="11">
        <v>13000.0</v>
      </c>
      <c r="O84" s="11">
        <v>12220.0</v>
      </c>
      <c r="P84" s="11">
        <v>11700.0</v>
      </c>
      <c r="Q84" s="11">
        <v>10140.0</v>
      </c>
      <c r="R84" s="11">
        <v>7930.0</v>
      </c>
      <c r="S84" s="11">
        <v>6240.0</v>
      </c>
      <c r="T84" s="11">
        <v>5200.0</v>
      </c>
      <c r="U84" s="11">
        <v>0.0</v>
      </c>
    </row>
    <row r="85" ht="15.75" customHeight="1">
      <c r="A85" s="5">
        <v>84.0</v>
      </c>
      <c r="B85" s="6" t="s">
        <v>169</v>
      </c>
      <c r="C85" s="7" t="s">
        <v>170</v>
      </c>
      <c r="D85" s="21">
        <v>2600.0</v>
      </c>
      <c r="E85" s="9">
        <v>2600.0</v>
      </c>
      <c r="F85" s="9">
        <v>2000.0</v>
      </c>
      <c r="G85" s="9">
        <v>1500.0</v>
      </c>
      <c r="H85" s="9">
        <v>1000.0</v>
      </c>
      <c r="I85" s="9">
        <v>0.0</v>
      </c>
      <c r="J85" s="10">
        <v>0.0</v>
      </c>
      <c r="K85" s="21">
        <v>6500.0</v>
      </c>
      <c r="L85" s="11">
        <v>6500.0</v>
      </c>
      <c r="M85" s="11">
        <v>6500.0</v>
      </c>
      <c r="N85" s="11">
        <v>5500.0</v>
      </c>
      <c r="O85" s="11">
        <v>4865.0</v>
      </c>
      <c r="P85" s="11">
        <v>4160.0</v>
      </c>
      <c r="Q85" s="11">
        <v>2860.0</v>
      </c>
      <c r="R85" s="11">
        <v>0.0</v>
      </c>
      <c r="S85" s="11">
        <v>0.0</v>
      </c>
      <c r="T85" s="11">
        <v>0.0</v>
      </c>
      <c r="U85" s="11">
        <v>0.0</v>
      </c>
    </row>
    <row r="86" ht="15.75" customHeight="1">
      <c r="A86" s="5">
        <v>85.0</v>
      </c>
      <c r="B86" s="6" t="s">
        <v>171</v>
      </c>
      <c r="C86" s="7" t="s">
        <v>172</v>
      </c>
      <c r="D86" s="20">
        <v>5000.0</v>
      </c>
      <c r="E86" s="9">
        <v>5000.0</v>
      </c>
      <c r="F86" s="9">
        <v>5000.0</v>
      </c>
      <c r="G86" s="9">
        <v>4500.0</v>
      </c>
      <c r="H86" s="9">
        <v>3700.0</v>
      </c>
      <c r="I86" s="9">
        <v>2700.0</v>
      </c>
      <c r="J86" s="10">
        <v>0.0</v>
      </c>
      <c r="K86" s="8">
        <v>11000.0</v>
      </c>
      <c r="L86" s="11">
        <v>11000.0</v>
      </c>
      <c r="M86" s="11">
        <v>11000.0</v>
      </c>
      <c r="N86" s="11">
        <v>11000.0</v>
      </c>
      <c r="O86" s="11">
        <v>9900.0</v>
      </c>
      <c r="P86" s="11">
        <v>9020.0</v>
      </c>
      <c r="Q86" s="24">
        <v>7700.0</v>
      </c>
      <c r="R86" s="11">
        <v>5940.0</v>
      </c>
      <c r="S86" s="11">
        <v>3960.0</v>
      </c>
      <c r="T86" s="11">
        <v>0.0</v>
      </c>
      <c r="U86" s="11">
        <v>0.0</v>
      </c>
    </row>
    <row r="87" ht="15.75" customHeight="1">
      <c r="A87" s="32">
        <v>86.0</v>
      </c>
      <c r="B87" s="6" t="s">
        <v>173</v>
      </c>
      <c r="C87" s="7" t="s">
        <v>174</v>
      </c>
      <c r="D87" s="23">
        <v>12000.0</v>
      </c>
      <c r="E87" s="9">
        <v>12000.0</v>
      </c>
      <c r="F87" s="9">
        <v>12000.0</v>
      </c>
      <c r="G87" s="9">
        <v>11500.0</v>
      </c>
      <c r="H87" s="9">
        <v>10800.0</v>
      </c>
      <c r="I87" s="9">
        <v>8400.0</v>
      </c>
      <c r="J87" s="10">
        <v>7200.0</v>
      </c>
      <c r="K87" s="23">
        <v>23000.0</v>
      </c>
      <c r="L87" s="11">
        <v>23000.0</v>
      </c>
      <c r="M87" s="11">
        <v>23000.0</v>
      </c>
      <c r="N87" s="11">
        <v>23000.0</v>
      </c>
      <c r="O87" s="11">
        <v>23000.0</v>
      </c>
      <c r="P87" s="11">
        <v>23000.0</v>
      </c>
      <c r="Q87" s="11">
        <v>21850.0</v>
      </c>
      <c r="R87" s="11">
        <v>20700.0</v>
      </c>
      <c r="S87" s="11">
        <v>18400.0</v>
      </c>
      <c r="T87" s="11">
        <v>13800.0</v>
      </c>
      <c r="U87" s="11">
        <v>9200.0</v>
      </c>
    </row>
    <row r="88" ht="15.75" customHeight="1">
      <c r="A88" s="32">
        <v>87.0</v>
      </c>
      <c r="B88" s="6" t="s">
        <v>175</v>
      </c>
      <c r="C88" s="7" t="s">
        <v>176</v>
      </c>
      <c r="D88" s="8">
        <v>6000.0</v>
      </c>
      <c r="E88" s="9">
        <v>6000.0</v>
      </c>
      <c r="F88" s="9">
        <v>6000.0</v>
      </c>
      <c r="G88" s="9">
        <v>5500.0</v>
      </c>
      <c r="H88" s="9">
        <v>4680.0</v>
      </c>
      <c r="I88" s="25">
        <v>3480.0</v>
      </c>
      <c r="J88" s="10">
        <v>2460.0</v>
      </c>
      <c r="K88" s="8">
        <v>12500.0</v>
      </c>
      <c r="L88" s="11">
        <v>12500.0</v>
      </c>
      <c r="M88" s="11">
        <v>12500.0</v>
      </c>
      <c r="N88" s="11">
        <v>12500.0</v>
      </c>
      <c r="O88" s="11">
        <v>11625.0</v>
      </c>
      <c r="P88" s="11">
        <v>11000.0</v>
      </c>
      <c r="Q88" s="11">
        <v>9500.0</v>
      </c>
      <c r="R88" s="11">
        <v>7500.0</v>
      </c>
      <c r="S88" s="11">
        <v>5625.0</v>
      </c>
      <c r="T88" s="11">
        <v>0.0</v>
      </c>
      <c r="U88" s="11">
        <v>0.0</v>
      </c>
    </row>
    <row r="89" ht="15.75" customHeight="1">
      <c r="A89" s="1"/>
      <c r="D89" s="3"/>
      <c r="E89" s="33"/>
      <c r="F89" s="33"/>
      <c r="G89" s="33"/>
      <c r="H89" s="33"/>
      <c r="I89" s="33"/>
      <c r="J89" s="33"/>
      <c r="K89" s="3"/>
      <c r="L89" s="33"/>
      <c r="M89" s="33"/>
      <c r="N89" s="33"/>
      <c r="O89" s="33"/>
      <c r="P89" s="33"/>
      <c r="Q89" s="33"/>
      <c r="R89" s="33"/>
      <c r="S89" s="33"/>
      <c r="T89" s="33"/>
      <c r="U89" s="33"/>
    </row>
    <row r="90" ht="15.75" customHeight="1">
      <c r="A90" s="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1"/>
      <c r="D91" s="3"/>
      <c r="E91" s="3"/>
      <c r="F91" s="3"/>
      <c r="G91" s="3"/>
      <c r="H91" s="3"/>
      <c r="I91" s="3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1"/>
      <c r="D92" s="3"/>
      <c r="E92" s="3"/>
      <c r="F92" s="3"/>
      <c r="G92" s="3"/>
      <c r="H92" s="3"/>
      <c r="I92" s="3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1"/>
      <c r="D93" s="3"/>
      <c r="E93" s="3"/>
      <c r="F93" s="3"/>
      <c r="G93" s="3"/>
      <c r="H93" s="3"/>
      <c r="I93" s="34"/>
      <c r="J93" s="35" t="s">
        <v>177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1"/>
      <c r="D94" s="3"/>
      <c r="E94" s="3"/>
      <c r="F94" s="3"/>
      <c r="G94" s="3"/>
      <c r="H94" s="3"/>
      <c r="I94" s="34"/>
      <c r="J94" s="35" t="s">
        <v>178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>
      <c r="A491" s="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>
      <c r="A492" s="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>
      <c r="A493" s="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>
      <c r="A494" s="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>
      <c r="A495" s="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>
      <c r="A496" s="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>
      <c r="A497" s="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>
      <c r="A498" s="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>
      <c r="A499" s="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>
      <c r="A500" s="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>
      <c r="A501" s="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>
      <c r="A502" s="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>
      <c r="A503" s="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>
      <c r="A504" s="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>
      <c r="A505" s="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>
      <c r="A506" s="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>
      <c r="A507" s="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>
      <c r="A508" s="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>
      <c r="A509" s="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>
      <c r="A510" s="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>
      <c r="A511" s="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>
      <c r="A512" s="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>
      <c r="A513" s="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>
      <c r="A514" s="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>
      <c r="A515" s="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>
      <c r="A516" s="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>
      <c r="A517" s="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>
      <c r="A518" s="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>
      <c r="A519" s="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>
      <c r="A520" s="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>
      <c r="A521" s="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>
      <c r="A522" s="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>
      <c r="A523" s="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>
      <c r="A524" s="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>
      <c r="A525" s="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>
      <c r="A526" s="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>
      <c r="A527" s="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>
      <c r="A528" s="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>
      <c r="A529" s="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>
      <c r="A530" s="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>
      <c r="A531" s="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>
      <c r="A532" s="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>
      <c r="A533" s="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>
      <c r="A534" s="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>
      <c r="A535" s="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>
      <c r="A536" s="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>
      <c r="A537" s="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>
      <c r="A538" s="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>
      <c r="A539" s="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>
      <c r="A540" s="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>
      <c r="A541" s="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>
      <c r="A542" s="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>
      <c r="A543" s="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>
      <c r="A544" s="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>
      <c r="A545" s="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>
      <c r="A546" s="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>
      <c r="A547" s="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>
      <c r="A548" s="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>
      <c r="A549" s="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>
      <c r="A550" s="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>
      <c r="A551" s="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>
      <c r="A552" s="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>
      <c r="A553" s="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>
      <c r="A554" s="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>
      <c r="A555" s="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>
      <c r="A556" s="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>
      <c r="A557" s="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>
      <c r="A558" s="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>
      <c r="A559" s="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>
      <c r="A560" s="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>
      <c r="A561" s="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>
      <c r="A562" s="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>
      <c r="A563" s="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>
      <c r="A564" s="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>
      <c r="A565" s="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>
      <c r="A566" s="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>
      <c r="A567" s="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>
      <c r="A568" s="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>
      <c r="A569" s="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>
      <c r="A570" s="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>
      <c r="A571" s="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>
      <c r="A572" s="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>
      <c r="A573" s="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>
      <c r="A574" s="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>
      <c r="A575" s="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>
      <c r="A576" s="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>
      <c r="A577" s="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>
      <c r="A578" s="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>
      <c r="A579" s="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>
      <c r="A580" s="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>
      <c r="A581" s="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>
      <c r="A582" s="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>
      <c r="A583" s="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>
      <c r="A584" s="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>
      <c r="A585" s="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>
      <c r="A586" s="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>
      <c r="A587" s="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>
      <c r="A588" s="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>
      <c r="A589" s="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>
      <c r="A590" s="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>
      <c r="A591" s="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>
      <c r="A592" s="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>
      <c r="A593" s="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>
      <c r="A594" s="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>
      <c r="A595" s="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>
      <c r="A596" s="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>
      <c r="A597" s="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>
      <c r="A598" s="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>
      <c r="A599" s="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>
      <c r="A600" s="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>
      <c r="A601" s="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>
      <c r="A602" s="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>
      <c r="A603" s="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>
      <c r="A604" s="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>
      <c r="A605" s="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>
      <c r="A606" s="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>
      <c r="A607" s="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>
      <c r="A608" s="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>
      <c r="A609" s="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>
      <c r="A610" s="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>
      <c r="A611" s="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>
      <c r="A612" s="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>
      <c r="A613" s="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>
      <c r="A614" s="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>
      <c r="A615" s="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>
      <c r="A616" s="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>
      <c r="A617" s="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>
      <c r="A618" s="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>
      <c r="A619" s="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>
      <c r="A620" s="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>
      <c r="A621" s="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>
      <c r="A622" s="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>
      <c r="A623" s="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>
      <c r="A624" s="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>
      <c r="A625" s="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>
      <c r="A626" s="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>
      <c r="A627" s="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>
      <c r="A628" s="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>
      <c r="A629" s="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>
      <c r="A630" s="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>
      <c r="A631" s="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>
      <c r="A632" s="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>
      <c r="A633" s="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>
      <c r="A634" s="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>
      <c r="A635" s="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>
      <c r="A636" s="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>
      <c r="A637" s="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>
      <c r="A638" s="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>
      <c r="A639" s="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>
      <c r="A640" s="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>
      <c r="A641" s="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>
      <c r="A642" s="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>
      <c r="A643" s="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>
      <c r="A644" s="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>
      <c r="A645" s="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>
      <c r="A646" s="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>
      <c r="A647" s="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>
      <c r="A648" s="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>
      <c r="A649" s="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>
      <c r="A650" s="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>
      <c r="A651" s="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>
      <c r="A652" s="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>
      <c r="A653" s="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>
      <c r="A654" s="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>
      <c r="A655" s="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>
      <c r="A656" s="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>
      <c r="A657" s="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>
      <c r="A658" s="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>
      <c r="A659" s="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>
      <c r="A660" s="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>
      <c r="A661" s="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>
      <c r="A662" s="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>
      <c r="A663" s="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>
      <c r="A664" s="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>
      <c r="A665" s="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>
      <c r="A666" s="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>
      <c r="A667" s="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>
      <c r="A668" s="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>
      <c r="A669" s="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>
      <c r="A670" s="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>
      <c r="A671" s="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>
      <c r="A672" s="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>
      <c r="A673" s="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>
      <c r="A674" s="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>
      <c r="A675" s="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>
      <c r="A676" s="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>
      <c r="A677" s="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>
      <c r="A678" s="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>
      <c r="A679" s="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>
      <c r="A680" s="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>
      <c r="A681" s="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>
      <c r="A682" s="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>
      <c r="A683" s="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>
      <c r="A684" s="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>
      <c r="A685" s="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>
      <c r="A686" s="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>
      <c r="A687" s="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>
      <c r="A688" s="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>
      <c r="A689" s="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>
      <c r="A690" s="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>
      <c r="A691" s="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>
      <c r="A692" s="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>
      <c r="A693" s="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>
      <c r="A694" s="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>
      <c r="A695" s="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>
      <c r="A696" s="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>
      <c r="A697" s="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>
      <c r="A698" s="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>
      <c r="A699" s="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>
      <c r="A700" s="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>
      <c r="A701" s="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>
      <c r="A702" s="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>
      <c r="A703" s="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>
      <c r="A704" s="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>
      <c r="A705" s="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5.75" customHeight="1">
      <c r="A706" s="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5.75" customHeight="1">
      <c r="A707" s="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5.75" customHeight="1">
      <c r="A708" s="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5.75" customHeight="1">
      <c r="A709" s="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5.75" customHeight="1">
      <c r="A710" s="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5.75" customHeight="1">
      <c r="A711" s="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5.75" customHeight="1">
      <c r="A712" s="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5.75" customHeight="1">
      <c r="A713" s="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5.75" customHeight="1">
      <c r="A714" s="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5.75" customHeight="1">
      <c r="A715" s="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5.75" customHeight="1">
      <c r="A716" s="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5.75" customHeight="1">
      <c r="A717" s="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5.75" customHeight="1">
      <c r="A718" s="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5.75" customHeight="1">
      <c r="A719" s="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5.75" customHeight="1">
      <c r="A720" s="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5.75" customHeight="1">
      <c r="A721" s="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5.75" customHeight="1">
      <c r="A722" s="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5.75" customHeight="1">
      <c r="A723" s="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5.75" customHeight="1">
      <c r="A724" s="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5.75" customHeight="1">
      <c r="A725" s="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5.75" customHeight="1">
      <c r="A726" s="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5.75" customHeight="1">
      <c r="A727" s="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5.75" customHeight="1">
      <c r="A728" s="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5.75" customHeight="1">
      <c r="A729" s="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5.75" customHeight="1">
      <c r="A730" s="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5.75" customHeight="1">
      <c r="A731" s="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5.75" customHeight="1">
      <c r="A732" s="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5.75" customHeight="1">
      <c r="A733" s="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5.75" customHeight="1">
      <c r="A734" s="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5.75" customHeight="1">
      <c r="A735" s="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5.75" customHeight="1">
      <c r="A736" s="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5.75" customHeight="1">
      <c r="A737" s="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5.75" customHeight="1">
      <c r="A738" s="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5.75" customHeight="1">
      <c r="A739" s="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5.75" customHeight="1">
      <c r="A740" s="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5.75" customHeight="1">
      <c r="A741" s="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5.75" customHeight="1">
      <c r="A742" s="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5.75" customHeight="1">
      <c r="A743" s="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5.75" customHeight="1">
      <c r="A744" s="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5.75" customHeight="1">
      <c r="A745" s="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5.75" customHeight="1">
      <c r="A746" s="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5.75" customHeight="1">
      <c r="A747" s="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5.75" customHeight="1">
      <c r="A748" s="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5.75" customHeight="1">
      <c r="A749" s="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5.75" customHeight="1">
      <c r="A750" s="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5.75" customHeight="1">
      <c r="A751" s="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5.75" customHeight="1">
      <c r="A752" s="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5.75" customHeight="1">
      <c r="A753" s="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5.75" customHeight="1">
      <c r="A754" s="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5.75" customHeight="1">
      <c r="A755" s="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5.75" customHeight="1">
      <c r="A756" s="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5.75" customHeight="1">
      <c r="A757" s="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5.75" customHeight="1">
      <c r="A758" s="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5.75" customHeight="1">
      <c r="A759" s="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5.75" customHeight="1">
      <c r="A760" s="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5.75" customHeight="1">
      <c r="A761" s="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5.75" customHeight="1">
      <c r="A762" s="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5.75" customHeight="1">
      <c r="A763" s="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5.75" customHeight="1">
      <c r="A764" s="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5.75" customHeight="1">
      <c r="A765" s="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5.75" customHeight="1">
      <c r="A766" s="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5.75" customHeight="1">
      <c r="A767" s="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5.75" customHeight="1">
      <c r="A768" s="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5.75" customHeight="1">
      <c r="A769" s="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5.75" customHeight="1">
      <c r="A770" s="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5.75" customHeight="1">
      <c r="A771" s="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5.75" customHeight="1">
      <c r="A772" s="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5.75" customHeight="1">
      <c r="A773" s="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5.75" customHeight="1">
      <c r="A774" s="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5.75" customHeight="1">
      <c r="A775" s="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5.75" customHeight="1">
      <c r="A776" s="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5.75" customHeight="1">
      <c r="A777" s="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5.75" customHeight="1">
      <c r="A778" s="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5.75" customHeight="1">
      <c r="A779" s="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5.75" customHeight="1">
      <c r="A780" s="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5.75" customHeight="1">
      <c r="A781" s="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5.75" customHeight="1">
      <c r="A782" s="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5.75" customHeight="1">
      <c r="A783" s="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5.75" customHeight="1">
      <c r="A784" s="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5.75" customHeight="1">
      <c r="A785" s="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5.75" customHeight="1">
      <c r="A786" s="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5.75" customHeight="1">
      <c r="A787" s="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5.75" customHeight="1">
      <c r="A788" s="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5.75" customHeight="1">
      <c r="A789" s="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5.75" customHeight="1">
      <c r="A790" s="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5.75" customHeight="1">
      <c r="A791" s="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5.75" customHeight="1">
      <c r="A792" s="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5.75" customHeight="1">
      <c r="A793" s="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5.75" customHeight="1">
      <c r="A794" s="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5.75" customHeight="1">
      <c r="A795" s="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5.75" customHeight="1">
      <c r="A796" s="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5.75" customHeight="1">
      <c r="A797" s="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5.75" customHeight="1">
      <c r="A798" s="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5.75" customHeight="1">
      <c r="A799" s="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5.75" customHeight="1">
      <c r="A800" s="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5.75" customHeight="1">
      <c r="A801" s="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5.75" customHeight="1">
      <c r="A802" s="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5.75" customHeight="1">
      <c r="A803" s="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5.75" customHeight="1">
      <c r="A804" s="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5.75" customHeight="1">
      <c r="A805" s="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5.75" customHeight="1">
      <c r="A806" s="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5.75" customHeight="1">
      <c r="A807" s="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5.75" customHeight="1">
      <c r="A808" s="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5.75" customHeight="1">
      <c r="A809" s="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5.75" customHeight="1">
      <c r="A810" s="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5.75" customHeight="1">
      <c r="A811" s="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5.75" customHeight="1">
      <c r="A812" s="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5.75" customHeight="1">
      <c r="A813" s="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5.75" customHeight="1">
      <c r="A814" s="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5.75" customHeight="1">
      <c r="A815" s="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5.75" customHeight="1">
      <c r="A816" s="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5.75" customHeight="1">
      <c r="A817" s="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5.75" customHeight="1">
      <c r="A818" s="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5.75" customHeight="1">
      <c r="A819" s="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5.75" customHeight="1">
      <c r="A820" s="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5.75" customHeight="1">
      <c r="A821" s="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5.75" customHeight="1">
      <c r="A822" s="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5.75" customHeight="1">
      <c r="A823" s="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5.75" customHeight="1">
      <c r="A824" s="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5.75" customHeight="1">
      <c r="A825" s="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5.75" customHeight="1">
      <c r="A826" s="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5.75" customHeight="1">
      <c r="A827" s="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5.75" customHeight="1">
      <c r="A828" s="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5.75" customHeight="1">
      <c r="A829" s="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5.75" customHeight="1">
      <c r="A830" s="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5.75" customHeight="1">
      <c r="A831" s="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5.75" customHeight="1">
      <c r="A832" s="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5.75" customHeight="1">
      <c r="A833" s="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5.75" customHeight="1">
      <c r="A834" s="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5.75" customHeight="1">
      <c r="A835" s="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5.75" customHeight="1">
      <c r="A836" s="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5.75" customHeight="1">
      <c r="A837" s="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5.75" customHeight="1">
      <c r="A838" s="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5.75" customHeight="1">
      <c r="A839" s="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5.75" customHeight="1">
      <c r="A840" s="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5.75" customHeight="1">
      <c r="A841" s="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5.75" customHeight="1">
      <c r="A842" s="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5.75" customHeight="1">
      <c r="A843" s="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5.75" customHeight="1">
      <c r="A844" s="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5.75" customHeight="1">
      <c r="A845" s="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5.75" customHeight="1">
      <c r="A846" s="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5.75" customHeight="1">
      <c r="A847" s="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5.75" customHeight="1">
      <c r="A848" s="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5.75" customHeight="1">
      <c r="A849" s="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5.75" customHeight="1">
      <c r="A850" s="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5.75" customHeight="1">
      <c r="A851" s="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5.75" customHeight="1">
      <c r="A852" s="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5.75" customHeight="1">
      <c r="A853" s="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5.75" customHeight="1">
      <c r="A854" s="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5.75" customHeight="1">
      <c r="A855" s="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5.75" customHeight="1">
      <c r="A856" s="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5.75" customHeight="1">
      <c r="A857" s="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5.75" customHeight="1">
      <c r="A858" s="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5.75" customHeight="1">
      <c r="A859" s="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5.75" customHeight="1">
      <c r="A860" s="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5.75" customHeight="1">
      <c r="A861" s="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5.75" customHeight="1">
      <c r="A862" s="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5.75" customHeight="1">
      <c r="A863" s="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5.75" customHeight="1">
      <c r="A864" s="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5.75" customHeight="1">
      <c r="A865" s="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5.75" customHeight="1">
      <c r="A866" s="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5.75" customHeight="1">
      <c r="A867" s="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5.75" customHeight="1">
      <c r="A868" s="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5.75" customHeight="1">
      <c r="A869" s="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5.75" customHeight="1">
      <c r="A870" s="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5.75" customHeight="1">
      <c r="A871" s="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5.75" customHeight="1">
      <c r="A872" s="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5.75" customHeight="1">
      <c r="A873" s="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5.75" customHeight="1">
      <c r="A874" s="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5.75" customHeight="1">
      <c r="A875" s="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5.75" customHeight="1">
      <c r="A876" s="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5.75" customHeight="1">
      <c r="A877" s="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5.75" customHeight="1">
      <c r="A878" s="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5.75" customHeight="1">
      <c r="A879" s="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5.75" customHeight="1">
      <c r="A880" s="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5.75" customHeight="1">
      <c r="A881" s="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5.75" customHeight="1">
      <c r="A882" s="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5.75" customHeight="1">
      <c r="A883" s="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5.75" customHeight="1">
      <c r="A884" s="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5.75" customHeight="1">
      <c r="A885" s="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5.75" customHeight="1">
      <c r="A886" s="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5.75" customHeight="1">
      <c r="A887" s="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5.75" customHeight="1">
      <c r="A888" s="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5.75" customHeight="1">
      <c r="A889" s="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5.75" customHeight="1">
      <c r="A890" s="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5.75" customHeight="1">
      <c r="A891" s="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5.75" customHeight="1">
      <c r="A892" s="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5.75" customHeight="1">
      <c r="A893" s="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5.75" customHeight="1">
      <c r="A894" s="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5.75" customHeight="1">
      <c r="A895" s="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5.75" customHeight="1">
      <c r="A896" s="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5.75" customHeight="1">
      <c r="A897" s="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5.75" customHeight="1">
      <c r="A898" s="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5.75" customHeight="1">
      <c r="A899" s="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5.75" customHeight="1">
      <c r="A900" s="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5.75" customHeight="1">
      <c r="A901" s="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5.75" customHeight="1">
      <c r="A902" s="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5.75" customHeight="1">
      <c r="A903" s="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5.75" customHeight="1">
      <c r="A904" s="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5.75" customHeight="1">
      <c r="A905" s="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5.75" customHeight="1">
      <c r="A906" s="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5.75" customHeight="1">
      <c r="A907" s="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5.75" customHeight="1">
      <c r="A908" s="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5.75" customHeight="1">
      <c r="A909" s="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5.75" customHeight="1">
      <c r="A910" s="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5.75" customHeight="1">
      <c r="A911" s="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5.75" customHeight="1">
      <c r="A912" s="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5.75" customHeight="1">
      <c r="A913" s="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5.75" customHeight="1">
      <c r="A914" s="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5.75" customHeight="1">
      <c r="A915" s="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5.75" customHeight="1">
      <c r="A916" s="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5.75" customHeight="1">
      <c r="A917" s="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5.75" customHeight="1">
      <c r="A918" s="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5.75" customHeight="1">
      <c r="A919" s="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5.75" customHeight="1">
      <c r="A920" s="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5.75" customHeight="1">
      <c r="A921" s="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5.75" customHeight="1">
      <c r="A922" s="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5.75" customHeight="1">
      <c r="A923" s="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5.75" customHeight="1">
      <c r="A924" s="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5.75" customHeight="1">
      <c r="A925" s="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5.75" customHeight="1">
      <c r="A926" s="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5.75" customHeight="1">
      <c r="A927" s="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5.75" customHeight="1">
      <c r="A928" s="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5.75" customHeight="1">
      <c r="A929" s="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5.75" customHeight="1">
      <c r="A930" s="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5.75" customHeight="1">
      <c r="A931" s="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5.75" customHeight="1">
      <c r="A932" s="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5.75" customHeight="1">
      <c r="A933" s="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5.75" customHeight="1">
      <c r="A934" s="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5.75" customHeight="1">
      <c r="A935" s="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5.75" customHeight="1">
      <c r="A936" s="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5.75" customHeight="1">
      <c r="A937" s="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5.75" customHeight="1">
      <c r="A938" s="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5.75" customHeight="1">
      <c r="A939" s="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5.75" customHeight="1">
      <c r="A940" s="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5.75" customHeight="1">
      <c r="A941" s="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5.75" customHeight="1">
      <c r="A942" s="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5.75" customHeight="1">
      <c r="A943" s="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5.75" customHeight="1">
      <c r="A944" s="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5.75" customHeight="1">
      <c r="A945" s="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5.75" customHeight="1">
      <c r="A946" s="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5.75" customHeight="1">
      <c r="A947" s="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5.75" customHeight="1">
      <c r="A948" s="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5.75" customHeight="1">
      <c r="A949" s="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5.75" customHeight="1">
      <c r="A950" s="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5.75" customHeight="1">
      <c r="A951" s="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5.75" customHeight="1">
      <c r="A952" s="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5.75" customHeight="1">
      <c r="A953" s="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5.75" customHeight="1">
      <c r="A954" s="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5.75" customHeight="1">
      <c r="A955" s="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5.75" customHeight="1">
      <c r="A956" s="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5.75" customHeight="1">
      <c r="A957" s="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5.75" customHeight="1">
      <c r="A958" s="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5.75" customHeight="1">
      <c r="A959" s="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5.75" customHeight="1">
      <c r="A960" s="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5.75" customHeight="1">
      <c r="A961" s="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5.75" customHeight="1">
      <c r="A962" s="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5.75" customHeight="1">
      <c r="A963" s="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5.75" customHeight="1">
      <c r="A964" s="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5.75" customHeight="1">
      <c r="A965" s="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5.75" customHeight="1">
      <c r="A966" s="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5.75" customHeight="1">
      <c r="A967" s="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5.75" customHeight="1">
      <c r="A968" s="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5.75" customHeight="1">
      <c r="A969" s="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5.75" customHeight="1">
      <c r="A970" s="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5.75" customHeight="1">
      <c r="A971" s="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5.75" customHeight="1">
      <c r="A972" s="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5.75" customHeight="1">
      <c r="A973" s="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5.75" customHeight="1">
      <c r="A974" s="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5.75" customHeight="1">
      <c r="A975" s="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5.75" customHeight="1">
      <c r="A976" s="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5.75" customHeight="1">
      <c r="A977" s="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5.75" customHeight="1">
      <c r="A978" s="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5.75" customHeight="1">
      <c r="A979" s="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5.75" customHeight="1">
      <c r="A980" s="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5.75" customHeight="1">
      <c r="A981" s="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5.75" customHeight="1">
      <c r="A982" s="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5.75" customHeight="1">
      <c r="A983" s="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ht="15.75" customHeight="1">
      <c r="A984" s="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ht="15.75" customHeight="1">
      <c r="A985" s="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ht="15.75" customHeight="1">
      <c r="A986" s="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ht="15.75" customHeight="1">
      <c r="A987" s="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ht="15.75" customHeight="1">
      <c r="A988" s="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ht="15.75" customHeight="1">
      <c r="A989" s="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ht="15.75" customHeight="1">
      <c r="A990" s="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ht="15.75" customHeight="1">
      <c r="A991" s="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ht="15.75" customHeight="1">
      <c r="A992" s="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ht="15.75" customHeight="1">
      <c r="A993" s="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ht="15.75" customHeight="1">
      <c r="A994" s="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ht="15.75" customHeight="1">
      <c r="A995" s="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ht="15.75" customHeight="1">
      <c r="A996" s="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ht="15.75" customHeight="1">
      <c r="A997" s="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ht="15.75" customHeight="1">
      <c r="A998" s="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ht="15.75" customHeight="1">
      <c r="D999" s="33"/>
      <c r="E999" s="3"/>
      <c r="F999" s="3"/>
      <c r="G999" s="3"/>
      <c r="H999" s="3"/>
      <c r="I999" s="3"/>
      <c r="J999" s="3"/>
      <c r="K999" s="3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ht="15.75" customHeight="1"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</row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2">
      <c r="K2" s="2">
        <v>4.0</v>
      </c>
      <c r="L2" s="2">
        <v>6.0</v>
      </c>
      <c r="M2" s="2">
        <v>8.0</v>
      </c>
      <c r="N2" s="2">
        <v>10.0</v>
      </c>
      <c r="O2" s="2">
        <v>12.0</v>
      </c>
      <c r="P2" s="2">
        <v>12.0</v>
      </c>
      <c r="Q2" s="2">
        <v>12.0</v>
      </c>
    </row>
    <row r="4">
      <c r="H4" s="36">
        <v>5000.0</v>
      </c>
      <c r="I4" s="36">
        <v>10000.0</v>
      </c>
      <c r="J4" s="36">
        <v>25000.0</v>
      </c>
      <c r="K4" s="2">
        <v>50000.0</v>
      </c>
      <c r="L4" s="2">
        <v>75000.0</v>
      </c>
      <c r="M4" s="2">
        <v>100000.0</v>
      </c>
      <c r="N4" s="2">
        <v>150000.0</v>
      </c>
      <c r="O4" s="2">
        <v>200000.0</v>
      </c>
      <c r="P4" s="2" t="s">
        <v>11</v>
      </c>
      <c r="Q4" s="2" t="s">
        <v>12</v>
      </c>
      <c r="R4" s="2" t="s">
        <v>179</v>
      </c>
    </row>
    <row r="5">
      <c r="H5" s="36"/>
      <c r="I5" s="36"/>
      <c r="J5" s="36"/>
      <c r="AB5" s="37">
        <v>6500.0</v>
      </c>
    </row>
    <row r="6">
      <c r="H6" s="36"/>
      <c r="I6" s="36"/>
      <c r="J6" s="36"/>
      <c r="AB6" s="38">
        <v>12000.0</v>
      </c>
      <c r="AD6" s="2">
        <v>12000.0</v>
      </c>
    </row>
    <row r="7">
      <c r="H7" s="36">
        <f t="shared" ref="H7:J7" si="1">H8*0.5</f>
        <v>1500</v>
      </c>
      <c r="I7" s="36">
        <f t="shared" si="1"/>
        <v>4000</v>
      </c>
      <c r="J7" s="36">
        <f t="shared" si="1"/>
        <v>10000</v>
      </c>
      <c r="K7" s="2">
        <f>K8*0.52*0.96</f>
        <v>18720</v>
      </c>
      <c r="L7" s="2">
        <f>L8*0.52*0.94</f>
        <v>32994</v>
      </c>
      <c r="M7" s="2">
        <f>M8*0.52*0.92</f>
        <v>41860</v>
      </c>
      <c r="N7" s="2">
        <f>N8*0.52*0.9</f>
        <v>58500</v>
      </c>
      <c r="O7" s="2">
        <f t="shared" ref="O7:R7" si="2">O8*0.52*0.88</f>
        <v>800800</v>
      </c>
      <c r="P7" s="2">
        <f t="shared" si="2"/>
        <v>102960</v>
      </c>
      <c r="Q7" s="2">
        <f t="shared" si="2"/>
        <v>125840</v>
      </c>
      <c r="R7" s="2">
        <f t="shared" si="2"/>
        <v>141856</v>
      </c>
      <c r="AB7" s="38">
        <v>12000.0</v>
      </c>
      <c r="AD7" s="2">
        <v>11500.0</v>
      </c>
    </row>
    <row r="8">
      <c r="H8" s="36">
        <v>3000.0</v>
      </c>
      <c r="I8" s="36">
        <f>10000*0.8</f>
        <v>8000</v>
      </c>
      <c r="J8" s="36">
        <f>25000*0.8</f>
        <v>20000</v>
      </c>
      <c r="K8" s="2">
        <v>37500.0</v>
      </c>
      <c r="L8" s="2">
        <v>67500.0</v>
      </c>
      <c r="M8" s="2">
        <v>87500.0</v>
      </c>
      <c r="N8" s="2">
        <v>125000.0</v>
      </c>
      <c r="O8" s="2">
        <v>1750000.0</v>
      </c>
      <c r="P8" s="2">
        <v>225000.0</v>
      </c>
      <c r="Q8" s="2">
        <v>275000.0</v>
      </c>
      <c r="R8" s="2">
        <v>310000.0</v>
      </c>
      <c r="AB8" s="38">
        <v>11500.0</v>
      </c>
      <c r="AD8" s="2">
        <v>11000.0</v>
      </c>
    </row>
    <row r="9">
      <c r="E9" s="2" t="s">
        <v>103</v>
      </c>
      <c r="G9" s="2">
        <v>5000.0</v>
      </c>
      <c r="K9" s="2">
        <f t="shared" ref="K9:K11" si="3">G9*0.8</f>
        <v>4000</v>
      </c>
      <c r="L9" s="2">
        <f t="shared" ref="L9:L11" si="4">G9*0.6</f>
        <v>3000</v>
      </c>
      <c r="M9" s="2">
        <f t="shared" ref="M9:M11" si="5">G9*0.4</f>
        <v>2000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AB9" s="38">
        <v>11000.0</v>
      </c>
      <c r="AD9" s="2">
        <v>10000.0</v>
      </c>
    </row>
    <row r="10">
      <c r="G10" s="2">
        <v>5500.0</v>
      </c>
      <c r="K10" s="2">
        <f t="shared" si="3"/>
        <v>4400</v>
      </c>
      <c r="L10" s="2">
        <f t="shared" si="4"/>
        <v>3300</v>
      </c>
      <c r="M10" s="2">
        <f t="shared" si="5"/>
        <v>2200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AB10" s="38">
        <v>11000.0</v>
      </c>
      <c r="AD10" s="2">
        <v>9500.0</v>
      </c>
    </row>
    <row r="11">
      <c r="E11" s="2" t="s">
        <v>37</v>
      </c>
      <c r="G11" s="2">
        <v>6000.0</v>
      </c>
      <c r="K11" s="2">
        <f t="shared" si="3"/>
        <v>4800</v>
      </c>
      <c r="L11" s="2">
        <f t="shared" si="4"/>
        <v>3600</v>
      </c>
      <c r="M11" s="2">
        <f t="shared" si="5"/>
        <v>2400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AB11" s="38">
        <v>11000.0</v>
      </c>
      <c r="AD11" s="2">
        <v>9000.0</v>
      </c>
    </row>
    <row r="12">
      <c r="G12" s="2">
        <v>6500.0</v>
      </c>
      <c r="K12" s="36">
        <f>G12*0.81</f>
        <v>5265</v>
      </c>
      <c r="L12" s="36">
        <f>G12*0.64</f>
        <v>4160</v>
      </c>
      <c r="M12" s="36">
        <f>G12*0.44</f>
        <v>2860</v>
      </c>
      <c r="N12" s="36">
        <v>0.0</v>
      </c>
      <c r="O12" s="36">
        <v>0.0</v>
      </c>
      <c r="P12" s="36">
        <v>0.0</v>
      </c>
      <c r="Q12" s="36">
        <v>0.0</v>
      </c>
      <c r="R12" s="36">
        <v>0.0</v>
      </c>
      <c r="S12" s="39">
        <f t="shared" ref="S12:V12" si="6">K12-K14</f>
        <v>-960</v>
      </c>
      <c r="T12" s="39">
        <f t="shared" si="6"/>
        <v>-940</v>
      </c>
      <c r="U12" s="39">
        <f t="shared" si="6"/>
        <v>-1040</v>
      </c>
      <c r="V12" s="39">
        <f t="shared" si="6"/>
        <v>-3000</v>
      </c>
      <c r="W12" s="2">
        <v>-1175.0</v>
      </c>
      <c r="X12" s="2">
        <v>-1725.0</v>
      </c>
      <c r="Y12" s="2">
        <v>-1900.0</v>
      </c>
      <c r="Z12" s="2">
        <v>-3000.0</v>
      </c>
      <c r="AB12" s="38">
        <v>10000.0</v>
      </c>
      <c r="AD12" s="2">
        <v>8500.0</v>
      </c>
    </row>
    <row r="13">
      <c r="E13" s="2" t="s">
        <v>180</v>
      </c>
      <c r="G13" s="2">
        <v>7000.0</v>
      </c>
      <c r="K13" s="39">
        <f>G13*0.82</f>
        <v>5740</v>
      </c>
      <c r="L13" s="39">
        <f>G13*0.66</f>
        <v>4620</v>
      </c>
      <c r="M13" s="39">
        <f>G13*0.48</f>
        <v>3360</v>
      </c>
      <c r="N13" s="39">
        <v>0.0</v>
      </c>
      <c r="O13" s="2">
        <v>0.0</v>
      </c>
      <c r="P13" s="2">
        <v>0.0</v>
      </c>
      <c r="Q13" s="2">
        <v>0.0</v>
      </c>
      <c r="R13" s="2">
        <v>0.0</v>
      </c>
      <c r="S13" s="39">
        <f t="shared" ref="S13:V13" si="7">K13-K15</f>
        <v>-980</v>
      </c>
      <c r="T13" s="39">
        <f t="shared" si="7"/>
        <v>-980</v>
      </c>
      <c r="U13" s="39">
        <f t="shared" si="7"/>
        <v>-1120</v>
      </c>
      <c r="V13" s="39">
        <f t="shared" si="7"/>
        <v>-3360</v>
      </c>
      <c r="W13" s="2">
        <v>-1200.0</v>
      </c>
      <c r="X13" s="2">
        <v>-1800.0</v>
      </c>
      <c r="Y13" s="2">
        <v>-2000.0</v>
      </c>
      <c r="Z13" s="2">
        <v>-3200.0</v>
      </c>
      <c r="AB13" s="38">
        <v>10000.0</v>
      </c>
      <c r="AD13" s="2">
        <v>8000.0</v>
      </c>
    </row>
    <row r="14">
      <c r="G14" s="2">
        <v>7500.0</v>
      </c>
      <c r="K14" s="39">
        <f>G14*0.83</f>
        <v>6225</v>
      </c>
      <c r="L14" s="39">
        <f>G14*0.68</f>
        <v>5100</v>
      </c>
      <c r="M14" s="39">
        <f>G14*0.52</f>
        <v>3900</v>
      </c>
      <c r="N14" s="39">
        <f>G14*0.4</f>
        <v>3000</v>
      </c>
      <c r="O14" s="2">
        <v>0.0</v>
      </c>
      <c r="P14" s="2">
        <v>0.0</v>
      </c>
      <c r="Q14" s="2">
        <v>0.0</v>
      </c>
      <c r="R14" s="2">
        <v>0.0</v>
      </c>
      <c r="S14" s="36">
        <f t="shared" ref="S14:V14" si="8">S12/2</f>
        <v>-480</v>
      </c>
      <c r="T14" s="36">
        <f t="shared" si="8"/>
        <v>-470</v>
      </c>
      <c r="U14" s="36">
        <f t="shared" si="8"/>
        <v>-520</v>
      </c>
      <c r="V14" s="36">
        <f t="shared" si="8"/>
        <v>-1500</v>
      </c>
      <c r="W14" s="2">
        <v>-587.5</v>
      </c>
      <c r="X14" s="2">
        <v>-862.5</v>
      </c>
      <c r="Y14" s="2">
        <v>-950.0</v>
      </c>
      <c r="Z14" s="2">
        <v>-1500.0</v>
      </c>
      <c r="AB14" s="38">
        <v>10000.0</v>
      </c>
      <c r="AD14" s="2">
        <v>7500.0</v>
      </c>
    </row>
    <row r="15">
      <c r="G15" s="2">
        <v>8000.0</v>
      </c>
      <c r="K15" s="39">
        <f>G15*0.84</f>
        <v>6720</v>
      </c>
      <c r="L15" s="39">
        <f>G15*0.7</f>
        <v>5600</v>
      </c>
      <c r="M15" s="39">
        <f>G15*0.56</f>
        <v>4480</v>
      </c>
      <c r="N15" s="39">
        <f>G15*0.42</f>
        <v>3360</v>
      </c>
      <c r="O15" s="2">
        <v>0.0</v>
      </c>
      <c r="P15" s="2">
        <v>0.0</v>
      </c>
      <c r="Q15" s="2">
        <v>0.0</v>
      </c>
      <c r="R15" s="2">
        <v>0.0</v>
      </c>
      <c r="S15" s="36">
        <f t="shared" ref="S15:V15" si="9">S13/2</f>
        <v>-490</v>
      </c>
      <c r="T15" s="36">
        <f t="shared" si="9"/>
        <v>-490</v>
      </c>
      <c r="U15" s="36">
        <f t="shared" si="9"/>
        <v>-560</v>
      </c>
      <c r="V15" s="36">
        <f t="shared" si="9"/>
        <v>-1680</v>
      </c>
      <c r="W15" s="2">
        <v>-600.0</v>
      </c>
      <c r="X15" s="2">
        <v>-900.0</v>
      </c>
      <c r="Y15" s="2">
        <v>-1000.0</v>
      </c>
      <c r="Z15" s="2">
        <v>-1600.0</v>
      </c>
      <c r="AB15" s="38">
        <v>10000.0</v>
      </c>
      <c r="AD15" s="2">
        <v>7000.0</v>
      </c>
    </row>
    <row r="16">
      <c r="G16" s="2">
        <v>8500.0</v>
      </c>
      <c r="K16" s="2">
        <f>G16*0.85</f>
        <v>7225</v>
      </c>
      <c r="L16" s="2">
        <f>G16*0.72</f>
        <v>6120</v>
      </c>
      <c r="M16" s="2">
        <f>G16*0.6</f>
        <v>5100</v>
      </c>
      <c r="N16" s="2">
        <f>G16*0.44</f>
        <v>3740</v>
      </c>
      <c r="O16" s="2">
        <v>0.0</v>
      </c>
      <c r="P16" s="2">
        <v>0.0</v>
      </c>
      <c r="Q16" s="2">
        <v>0.0</v>
      </c>
      <c r="R16" s="2">
        <v>0.0</v>
      </c>
      <c r="AB16" s="40">
        <v>9500.0</v>
      </c>
      <c r="AD16" s="2">
        <v>6500.0</v>
      </c>
    </row>
    <row r="17">
      <c r="E17" s="2" t="s">
        <v>107</v>
      </c>
      <c r="G17" s="2">
        <v>9000.0</v>
      </c>
      <c r="K17" s="2">
        <f>G17*0.86</f>
        <v>7740</v>
      </c>
      <c r="L17" s="2">
        <f>G17*0.74</f>
        <v>6660</v>
      </c>
      <c r="M17" s="2">
        <f>G17*0.62</f>
        <v>5580</v>
      </c>
      <c r="N17" s="2">
        <f>G17*0.46</f>
        <v>4140</v>
      </c>
      <c r="O17" s="2">
        <v>0.0</v>
      </c>
      <c r="P17" s="2">
        <v>0.0</v>
      </c>
      <c r="Q17" s="2">
        <v>0.0</v>
      </c>
      <c r="R17" s="2">
        <v>0.0</v>
      </c>
      <c r="AB17" s="40">
        <v>9000.0</v>
      </c>
      <c r="AD17" s="2">
        <v>6000.0</v>
      </c>
    </row>
    <row r="18">
      <c r="G18" s="2">
        <v>9500.0</v>
      </c>
      <c r="K18" s="2">
        <f>G18*0.87</f>
        <v>8265</v>
      </c>
      <c r="L18" s="2">
        <f>G18*0.76</f>
        <v>7220</v>
      </c>
      <c r="M18" s="2">
        <f>G18*0.64</f>
        <v>6080</v>
      </c>
      <c r="N18" s="2">
        <f>G18*0.48</f>
        <v>4560</v>
      </c>
      <c r="O18" s="2">
        <v>0.0</v>
      </c>
      <c r="P18" s="2">
        <v>0.0</v>
      </c>
      <c r="Q18" s="2">
        <v>0.0</v>
      </c>
      <c r="R18" s="2">
        <v>0.0</v>
      </c>
      <c r="AB18" s="40">
        <v>9000.0</v>
      </c>
      <c r="AD18" s="2">
        <v>5500.0</v>
      </c>
    </row>
    <row r="19">
      <c r="E19" s="2" t="s">
        <v>155</v>
      </c>
      <c r="G19" s="2">
        <v>10000.0</v>
      </c>
      <c r="K19" s="2">
        <f>G19*0.88</f>
        <v>8800</v>
      </c>
      <c r="L19" s="2">
        <f>G19*0.78</f>
        <v>7800</v>
      </c>
      <c r="M19" s="2">
        <f>G19*0.66</f>
        <v>6600</v>
      </c>
      <c r="N19" s="2">
        <f>G19*0.5</f>
        <v>5000</v>
      </c>
      <c r="O19" s="2">
        <f>G19*0.3</f>
        <v>3000</v>
      </c>
      <c r="P19" s="2">
        <v>0.0</v>
      </c>
      <c r="Q19" s="2">
        <v>0.0</v>
      </c>
      <c r="R19" s="2">
        <v>0.0</v>
      </c>
      <c r="AB19" s="40">
        <v>8500.0</v>
      </c>
      <c r="AD19" s="2">
        <v>5000.0</v>
      </c>
    </row>
    <row r="20">
      <c r="G20" s="2">
        <v>10500.0</v>
      </c>
      <c r="K20" s="2">
        <f>G20*0.89</f>
        <v>9345</v>
      </c>
      <c r="L20" s="2">
        <f>G20*0.8</f>
        <v>8400</v>
      </c>
      <c r="M20" s="2">
        <f>G20*0.68</f>
        <v>7140</v>
      </c>
      <c r="N20" s="2">
        <f>G20*0.52</f>
        <v>5460</v>
      </c>
      <c r="O20" s="2">
        <f>G20*0.33</f>
        <v>3465</v>
      </c>
      <c r="P20" s="2">
        <v>0.0</v>
      </c>
      <c r="Q20" s="2">
        <v>0.0</v>
      </c>
      <c r="R20" s="2">
        <v>0.0</v>
      </c>
      <c r="AB20" s="40">
        <v>8000.0</v>
      </c>
      <c r="AD20" s="2">
        <v>4500.0</v>
      </c>
    </row>
    <row r="21" ht="15.75" customHeight="1">
      <c r="E21" s="2" t="s">
        <v>48</v>
      </c>
      <c r="G21" s="2">
        <v>11000.0</v>
      </c>
      <c r="K21" s="2">
        <f>G21*0.9</f>
        <v>9900</v>
      </c>
      <c r="L21" s="2">
        <f>G21*0.82</f>
        <v>9020</v>
      </c>
      <c r="M21" s="2">
        <f>G21*0.7</f>
        <v>7700</v>
      </c>
      <c r="N21" s="2">
        <f>G21*0.54</f>
        <v>5940</v>
      </c>
      <c r="O21" s="2">
        <f>G21*0.36</f>
        <v>3960</v>
      </c>
      <c r="P21" s="2">
        <v>0.0</v>
      </c>
      <c r="Q21" s="2">
        <v>0.0</v>
      </c>
      <c r="R21" s="2">
        <v>0.0</v>
      </c>
      <c r="AB21" s="40">
        <v>8000.0</v>
      </c>
      <c r="AD21" s="2">
        <v>4000.0</v>
      </c>
    </row>
    <row r="22" ht="15.75" customHeight="1">
      <c r="G22" s="2">
        <v>11500.0</v>
      </c>
      <c r="K22" s="2">
        <f>G22*0.91</f>
        <v>10465</v>
      </c>
      <c r="L22" s="2">
        <f>G22*0.84</f>
        <v>9660</v>
      </c>
      <c r="M22" s="2">
        <f>G22*0.72</f>
        <v>8280</v>
      </c>
      <c r="N22" s="2">
        <f>G22*0.56</f>
        <v>6440</v>
      </c>
      <c r="O22" s="2">
        <f>G22*0.39</f>
        <v>4485</v>
      </c>
      <c r="P22" s="2">
        <v>0.0</v>
      </c>
      <c r="Q22" s="2">
        <v>0.0</v>
      </c>
      <c r="R22" s="2">
        <v>0.0</v>
      </c>
      <c r="AB22" s="40">
        <v>8000.0</v>
      </c>
      <c r="AD22" s="2">
        <v>3500.0</v>
      </c>
    </row>
    <row r="23" ht="15.75" customHeight="1">
      <c r="G23" s="2">
        <v>12000.0</v>
      </c>
      <c r="K23" s="2">
        <f>G23*0.92</f>
        <v>11040</v>
      </c>
      <c r="L23" s="2">
        <f>G23*0.86</f>
        <v>10320</v>
      </c>
      <c r="M23" s="2">
        <f>G23*0.74</f>
        <v>8880</v>
      </c>
      <c r="N23" s="2">
        <f>G23*0.58</f>
        <v>6960</v>
      </c>
      <c r="O23" s="2">
        <f>G23*0.42</f>
        <v>5040</v>
      </c>
      <c r="P23" s="2">
        <v>0.0</v>
      </c>
      <c r="Q23" s="2">
        <v>0.0</v>
      </c>
      <c r="R23" s="2">
        <v>0.0</v>
      </c>
      <c r="AB23" s="40">
        <v>8000.0</v>
      </c>
      <c r="AD23" s="2">
        <v>3000.0</v>
      </c>
    </row>
    <row r="24" ht="15.75" customHeight="1">
      <c r="G24" s="2">
        <v>12500.0</v>
      </c>
      <c r="K24" s="2">
        <f>G24*0.93</f>
        <v>11625</v>
      </c>
      <c r="L24" s="2">
        <f>G24*0.88</f>
        <v>11000</v>
      </c>
      <c r="M24" s="2">
        <f>G24*0.76</f>
        <v>9500</v>
      </c>
      <c r="N24" s="2">
        <f>G24*0.6</f>
        <v>7500</v>
      </c>
      <c r="O24" s="2">
        <f>G24*0.45</f>
        <v>5625</v>
      </c>
      <c r="P24" s="2">
        <v>0.0</v>
      </c>
      <c r="Q24" s="2">
        <v>0.0</v>
      </c>
      <c r="R24" s="2">
        <v>0.0</v>
      </c>
      <c r="AB24" s="40">
        <v>8000.0</v>
      </c>
      <c r="AD24" s="2">
        <v>2800.0</v>
      </c>
    </row>
    <row r="25" ht="15.75" customHeight="1">
      <c r="E25" s="2" t="s">
        <v>181</v>
      </c>
      <c r="G25" s="36">
        <v>13000.0</v>
      </c>
      <c r="H25" s="36"/>
      <c r="I25" s="36"/>
      <c r="J25" s="36"/>
      <c r="K25" s="36">
        <f>G25*0.94</f>
        <v>12220</v>
      </c>
      <c r="L25" s="36">
        <f>G25*0.9</f>
        <v>11700</v>
      </c>
      <c r="M25" s="36">
        <f>G25*0.78</f>
        <v>10140</v>
      </c>
      <c r="N25" s="36">
        <f>G25*0.61</f>
        <v>7930</v>
      </c>
      <c r="O25" s="36">
        <f>G25*0.48</f>
        <v>6240</v>
      </c>
      <c r="P25" s="36">
        <f>G25*0.4</f>
        <v>5200</v>
      </c>
      <c r="Q25" s="36">
        <v>0.0</v>
      </c>
      <c r="R25" s="36">
        <v>0.0</v>
      </c>
      <c r="AB25" s="40">
        <v>7500.0</v>
      </c>
      <c r="AD25" s="2">
        <v>2600.0</v>
      </c>
    </row>
    <row r="26" ht="15.75" customHeight="1">
      <c r="E26" s="2" t="s">
        <v>182</v>
      </c>
      <c r="G26" s="2">
        <v>13500.0</v>
      </c>
      <c r="K26" s="2">
        <f>G26*0.95</f>
        <v>12825</v>
      </c>
      <c r="L26" s="2">
        <f>G26*0.92</f>
        <v>12420</v>
      </c>
      <c r="M26" s="2">
        <f>G26*0.8</f>
        <v>10800</v>
      </c>
      <c r="N26" s="2">
        <f>G26*0.62</f>
        <v>8370</v>
      </c>
      <c r="O26" s="2">
        <f>G26*0.51</f>
        <v>6885</v>
      </c>
      <c r="P26" s="2">
        <f>G26*0.42</f>
        <v>5670</v>
      </c>
      <c r="Q26" s="2">
        <v>0.0</v>
      </c>
      <c r="R26" s="2">
        <v>0.0</v>
      </c>
      <c r="AB26" s="40">
        <v>7500.0</v>
      </c>
      <c r="AD26" s="2">
        <v>2500.0</v>
      </c>
    </row>
    <row r="27" ht="15.75" customHeight="1">
      <c r="E27" s="2" t="s">
        <v>183</v>
      </c>
      <c r="G27" s="2">
        <v>14000.0</v>
      </c>
      <c r="K27" s="2">
        <f>G27*0.96</f>
        <v>13440</v>
      </c>
      <c r="L27" s="2">
        <f>G27*0.94</f>
        <v>13160</v>
      </c>
      <c r="M27" s="2">
        <f>G27*0.82</f>
        <v>11480</v>
      </c>
      <c r="N27" s="2">
        <f>G27*0.63</f>
        <v>8820</v>
      </c>
      <c r="O27" s="2">
        <f>G27*0.54</f>
        <v>7560</v>
      </c>
      <c r="P27" s="2">
        <f>G27*0.44</f>
        <v>6160</v>
      </c>
      <c r="Q27" s="2">
        <v>0.0</v>
      </c>
      <c r="R27" s="2">
        <v>0.0</v>
      </c>
      <c r="AB27" s="40">
        <v>7500.0</v>
      </c>
      <c r="AD27" s="2">
        <v>2300.0</v>
      </c>
    </row>
    <row r="28" ht="15.75" customHeight="1">
      <c r="G28" s="2">
        <v>14500.0</v>
      </c>
      <c r="K28" s="2">
        <f>G28*0.97</f>
        <v>14065</v>
      </c>
      <c r="L28" s="2">
        <f>G28*0.96</f>
        <v>13920</v>
      </c>
      <c r="M28" s="2">
        <f>G28*0.84</f>
        <v>12180</v>
      </c>
      <c r="N28" s="2">
        <f>G28*0.64</f>
        <v>9280</v>
      </c>
      <c r="O28" s="2">
        <f>G28*0.57</f>
        <v>8265</v>
      </c>
      <c r="P28" s="2">
        <f>G28*0.46</f>
        <v>6670</v>
      </c>
      <c r="Q28" s="2">
        <v>0.0</v>
      </c>
      <c r="R28" s="2">
        <v>0.0</v>
      </c>
      <c r="AB28" s="40">
        <v>7500.0</v>
      </c>
      <c r="AD28" s="2">
        <v>2000.0</v>
      </c>
    </row>
    <row r="29" ht="15.75" customHeight="1">
      <c r="E29" s="2" t="s">
        <v>184</v>
      </c>
      <c r="G29" s="2">
        <v>15000.0</v>
      </c>
      <c r="K29" s="2">
        <f>G29*0.98</f>
        <v>14700</v>
      </c>
      <c r="L29" s="2">
        <f>G29*0.98</f>
        <v>14700</v>
      </c>
      <c r="M29" s="2">
        <f>G29*0.86</f>
        <v>12900</v>
      </c>
      <c r="N29" s="2">
        <f>G29*0.65</f>
        <v>9750</v>
      </c>
      <c r="O29" s="2">
        <f>G29*0.6</f>
        <v>9000</v>
      </c>
      <c r="P29" s="2">
        <f>G29*0.48</f>
        <v>7200</v>
      </c>
      <c r="Q29" s="2">
        <v>0.0</v>
      </c>
      <c r="R29" s="2">
        <v>0.0</v>
      </c>
      <c r="AB29" s="40">
        <v>7500.0</v>
      </c>
      <c r="AD29" s="2">
        <v>1700.0</v>
      </c>
    </row>
    <row r="30" ht="15.75" customHeight="1">
      <c r="G30" s="2">
        <v>15500.0</v>
      </c>
      <c r="K30" s="2">
        <f>G30*0.99</f>
        <v>15345</v>
      </c>
      <c r="L30" s="2">
        <f t="shared" ref="L30:L45" si="10">G30</f>
        <v>15500</v>
      </c>
      <c r="M30" s="2">
        <f>G30*0.88</f>
        <v>13640</v>
      </c>
      <c r="N30" s="2">
        <f>G30*0.66</f>
        <v>10230</v>
      </c>
      <c r="O30" s="2">
        <f>G30*0.62</f>
        <v>9610</v>
      </c>
      <c r="P30" s="2">
        <f>G30*0.5</f>
        <v>7750</v>
      </c>
      <c r="Q30" s="2">
        <v>0.0</v>
      </c>
      <c r="R30" s="2">
        <v>0.0</v>
      </c>
      <c r="AB30" s="37">
        <v>7000.0</v>
      </c>
      <c r="AD30" s="2">
        <v>1600.0</v>
      </c>
    </row>
    <row r="31" ht="15.75" customHeight="1">
      <c r="G31" s="41">
        <v>16000.0</v>
      </c>
      <c r="H31" s="41"/>
      <c r="I31" s="41"/>
      <c r="J31" s="41"/>
      <c r="K31" s="41">
        <f t="shared" ref="K31:K45" si="11">G31</f>
        <v>16000</v>
      </c>
      <c r="L31" s="41">
        <f t="shared" si="10"/>
        <v>16000</v>
      </c>
      <c r="M31" s="41">
        <f>G31*0.9</f>
        <v>14400</v>
      </c>
      <c r="N31" s="41">
        <f>G31*0.67</f>
        <v>10720</v>
      </c>
      <c r="O31" s="41">
        <f>G31*0.64</f>
        <v>10240</v>
      </c>
      <c r="P31" s="41">
        <f>G31*0.52</f>
        <v>8320</v>
      </c>
      <c r="Q31" s="41">
        <v>0.0</v>
      </c>
      <c r="R31" s="41">
        <v>0.0</v>
      </c>
      <c r="AB31" s="37">
        <v>7000.0</v>
      </c>
      <c r="AD31" s="2">
        <v>1500.0</v>
      </c>
    </row>
    <row r="32" ht="15.75" customHeight="1">
      <c r="G32" s="2">
        <v>16500.0</v>
      </c>
      <c r="K32" s="36">
        <f t="shared" si="11"/>
        <v>16500</v>
      </c>
      <c r="L32" s="36">
        <f t="shared" si="10"/>
        <v>16500</v>
      </c>
      <c r="M32" s="36">
        <f>G32*0.91</f>
        <v>15015</v>
      </c>
      <c r="N32" s="36">
        <f>G32*0.68</f>
        <v>11220</v>
      </c>
      <c r="O32" s="36">
        <f>G32*0.66</f>
        <v>10890</v>
      </c>
      <c r="P32" s="36">
        <f>G32*0.54</f>
        <v>8910</v>
      </c>
      <c r="Q32" s="36">
        <f t="shared" ref="Q32:Q45" si="12">G32*0.4</f>
        <v>6600</v>
      </c>
      <c r="R32" s="36">
        <v>0.0</v>
      </c>
      <c r="AB32" s="37">
        <v>7000.0</v>
      </c>
    </row>
    <row r="33" ht="15.75" customHeight="1">
      <c r="G33" s="2">
        <v>17000.0</v>
      </c>
      <c r="K33" s="2">
        <f t="shared" si="11"/>
        <v>17000</v>
      </c>
      <c r="L33" s="2">
        <f t="shared" si="10"/>
        <v>17000</v>
      </c>
      <c r="M33" s="2">
        <f>G33*0.92</f>
        <v>15640</v>
      </c>
      <c r="N33" s="2">
        <f>G33*0.69</f>
        <v>11730</v>
      </c>
      <c r="O33" s="2">
        <f>G33*0.68</f>
        <v>11560</v>
      </c>
      <c r="P33" s="2">
        <f>G33*0.56</f>
        <v>9520</v>
      </c>
      <c r="Q33" s="2">
        <f t="shared" si="12"/>
        <v>6800</v>
      </c>
      <c r="R33" s="2">
        <v>0.0</v>
      </c>
      <c r="AB33" s="37">
        <v>7000.0</v>
      </c>
    </row>
    <row r="34" ht="15.75" customHeight="1">
      <c r="G34" s="2">
        <v>17500.0</v>
      </c>
      <c r="K34" s="2">
        <f t="shared" si="11"/>
        <v>17500</v>
      </c>
      <c r="L34" s="2">
        <f t="shared" si="10"/>
        <v>17500</v>
      </c>
      <c r="M34" s="2">
        <f>G34*0.93</f>
        <v>16275</v>
      </c>
      <c r="N34" s="2">
        <f>G34*0.7</f>
        <v>12250</v>
      </c>
      <c r="O34" s="2">
        <f>G34*0.7</f>
        <v>12250</v>
      </c>
      <c r="P34" s="2">
        <f>G34*0.58</f>
        <v>10150</v>
      </c>
      <c r="Q34" s="2">
        <f t="shared" si="12"/>
        <v>7000</v>
      </c>
      <c r="R34" s="2">
        <v>0.0</v>
      </c>
      <c r="AB34" s="37">
        <v>7000.0</v>
      </c>
    </row>
    <row r="35" ht="15.75" customHeight="1">
      <c r="E35" s="2" t="s">
        <v>113</v>
      </c>
      <c r="G35" s="2">
        <v>18000.0</v>
      </c>
      <c r="K35" s="2">
        <f t="shared" si="11"/>
        <v>18000</v>
      </c>
      <c r="L35" s="2">
        <f t="shared" si="10"/>
        <v>18000</v>
      </c>
      <c r="M35" s="2">
        <f>G35*0.94</f>
        <v>16920</v>
      </c>
      <c r="N35" s="2">
        <f>G35*0.72</f>
        <v>12960</v>
      </c>
      <c r="O35" s="2">
        <f>G35*0.72</f>
        <v>12960</v>
      </c>
      <c r="P35" s="2">
        <f t="shared" ref="P35:P45" si="13">G35*0.6</f>
        <v>10800</v>
      </c>
      <c r="Q35" s="2">
        <f t="shared" si="12"/>
        <v>7200</v>
      </c>
      <c r="R35" s="2">
        <v>0.0</v>
      </c>
      <c r="AB35" s="37">
        <v>6500.0</v>
      </c>
    </row>
    <row r="36" ht="15.75" customHeight="1">
      <c r="G36" s="2">
        <v>18500.0</v>
      </c>
      <c r="K36" s="2">
        <f t="shared" si="11"/>
        <v>18500</v>
      </c>
      <c r="L36" s="2">
        <f t="shared" si="10"/>
        <v>18500</v>
      </c>
      <c r="M36" s="2">
        <f t="shared" ref="M36:M45" si="14">G36*0.95</f>
        <v>17575</v>
      </c>
      <c r="N36" s="2">
        <f>G36*0.74</f>
        <v>13690</v>
      </c>
      <c r="O36" s="2">
        <f>G36*0.74</f>
        <v>13690</v>
      </c>
      <c r="P36" s="2">
        <f t="shared" si="13"/>
        <v>11100</v>
      </c>
      <c r="Q36" s="2">
        <f t="shared" si="12"/>
        <v>7400</v>
      </c>
      <c r="R36" s="2">
        <v>0.0</v>
      </c>
      <c r="AB36" s="37">
        <v>6500.0</v>
      </c>
    </row>
    <row r="37" ht="15.75" customHeight="1">
      <c r="G37" s="2">
        <v>19000.0</v>
      </c>
      <c r="K37" s="2">
        <f t="shared" si="11"/>
        <v>19000</v>
      </c>
      <c r="L37" s="2">
        <f t="shared" si="10"/>
        <v>19000</v>
      </c>
      <c r="M37" s="2">
        <f t="shared" si="14"/>
        <v>18050</v>
      </c>
      <c r="N37" s="2">
        <f>G37*0.76</f>
        <v>14440</v>
      </c>
      <c r="O37" s="2">
        <f>G37*0.76</f>
        <v>14440</v>
      </c>
      <c r="P37" s="2">
        <f t="shared" si="13"/>
        <v>11400</v>
      </c>
      <c r="Q37" s="2">
        <f t="shared" si="12"/>
        <v>7600</v>
      </c>
      <c r="R37" s="2">
        <v>0.0</v>
      </c>
      <c r="AB37" s="37">
        <v>6500.0</v>
      </c>
    </row>
    <row r="38" ht="15.75" customHeight="1">
      <c r="G38" s="2">
        <v>19500.0</v>
      </c>
      <c r="K38" s="2">
        <f t="shared" si="11"/>
        <v>19500</v>
      </c>
      <c r="L38" s="2">
        <f t="shared" si="10"/>
        <v>19500</v>
      </c>
      <c r="M38" s="2">
        <f t="shared" si="14"/>
        <v>18525</v>
      </c>
      <c r="N38" s="2">
        <f>G38*0.78</f>
        <v>15210</v>
      </c>
      <c r="O38" s="2">
        <f>G38*0.78</f>
        <v>15210</v>
      </c>
      <c r="P38" s="2">
        <f t="shared" si="13"/>
        <v>11700</v>
      </c>
      <c r="Q38" s="2">
        <f t="shared" si="12"/>
        <v>7800</v>
      </c>
      <c r="R38" s="2">
        <v>0.0</v>
      </c>
      <c r="AB38" s="37">
        <v>6500.0</v>
      </c>
    </row>
    <row r="39" ht="15.75" customHeight="1">
      <c r="E39" s="2" t="s">
        <v>146</v>
      </c>
      <c r="G39" s="2">
        <v>20000.0</v>
      </c>
      <c r="K39" s="2">
        <f t="shared" si="11"/>
        <v>20000</v>
      </c>
      <c r="L39" s="2">
        <f t="shared" si="10"/>
        <v>20000</v>
      </c>
      <c r="M39" s="2">
        <f t="shared" si="14"/>
        <v>19000</v>
      </c>
      <c r="N39" s="2">
        <f>G39*0.8</f>
        <v>16000</v>
      </c>
      <c r="O39" s="2">
        <f t="shared" ref="O39:O45" si="15">G39*0.8</f>
        <v>16000</v>
      </c>
      <c r="P39" s="2">
        <f t="shared" si="13"/>
        <v>12000</v>
      </c>
      <c r="Q39" s="2">
        <f t="shared" si="12"/>
        <v>8000</v>
      </c>
      <c r="R39" s="2">
        <v>0.0</v>
      </c>
      <c r="AB39" s="37">
        <v>6500.0</v>
      </c>
    </row>
    <row r="40" ht="15.75" customHeight="1">
      <c r="G40" s="2">
        <v>20500.0</v>
      </c>
      <c r="K40" s="2">
        <f t="shared" si="11"/>
        <v>20500</v>
      </c>
      <c r="L40" s="2">
        <f t="shared" si="10"/>
        <v>20500</v>
      </c>
      <c r="M40" s="2">
        <f t="shared" si="14"/>
        <v>19475</v>
      </c>
      <c r="N40" s="2">
        <f>G40*0.82</f>
        <v>16810</v>
      </c>
      <c r="O40" s="2">
        <f t="shared" si="15"/>
        <v>16400</v>
      </c>
      <c r="P40" s="2">
        <f t="shared" si="13"/>
        <v>12300</v>
      </c>
      <c r="Q40" s="2">
        <f t="shared" si="12"/>
        <v>8200</v>
      </c>
      <c r="R40" s="2">
        <v>0.0</v>
      </c>
      <c r="AB40" s="37">
        <v>6000.0</v>
      </c>
    </row>
    <row r="41" ht="15.75" customHeight="1">
      <c r="G41" s="2">
        <v>21000.0</v>
      </c>
      <c r="K41" s="2">
        <f t="shared" si="11"/>
        <v>21000</v>
      </c>
      <c r="L41" s="2">
        <f t="shared" si="10"/>
        <v>21000</v>
      </c>
      <c r="M41" s="2">
        <f t="shared" si="14"/>
        <v>19950</v>
      </c>
      <c r="N41" s="2">
        <f>G41*0.84</f>
        <v>17640</v>
      </c>
      <c r="O41" s="2">
        <f t="shared" si="15"/>
        <v>16800</v>
      </c>
      <c r="P41" s="2">
        <f t="shared" si="13"/>
        <v>12600</v>
      </c>
      <c r="Q41" s="2">
        <f t="shared" si="12"/>
        <v>8400</v>
      </c>
      <c r="R41" s="2">
        <v>0.0</v>
      </c>
      <c r="AB41" s="37">
        <v>6000.0</v>
      </c>
    </row>
    <row r="42" ht="15.75" customHeight="1">
      <c r="G42" s="2">
        <v>21500.0</v>
      </c>
      <c r="K42" s="2">
        <f t="shared" si="11"/>
        <v>21500</v>
      </c>
      <c r="L42" s="2">
        <f t="shared" si="10"/>
        <v>21500</v>
      </c>
      <c r="M42" s="2">
        <f t="shared" si="14"/>
        <v>20425</v>
      </c>
      <c r="N42" s="2">
        <f>G42*0.86</f>
        <v>18490</v>
      </c>
      <c r="O42" s="2">
        <f t="shared" si="15"/>
        <v>17200</v>
      </c>
      <c r="P42" s="2">
        <f t="shared" si="13"/>
        <v>12900</v>
      </c>
      <c r="Q42" s="2">
        <f t="shared" si="12"/>
        <v>8600</v>
      </c>
      <c r="R42" s="2">
        <v>0.0</v>
      </c>
      <c r="AB42" s="37">
        <v>6000.0</v>
      </c>
    </row>
    <row r="43" ht="15.75" customHeight="1">
      <c r="G43" s="2">
        <v>22000.0</v>
      </c>
      <c r="K43" s="2">
        <f t="shared" si="11"/>
        <v>22000</v>
      </c>
      <c r="L43" s="2">
        <f t="shared" si="10"/>
        <v>22000</v>
      </c>
      <c r="M43" s="2">
        <f t="shared" si="14"/>
        <v>20900</v>
      </c>
      <c r="N43" s="2">
        <f>G43*0.88</f>
        <v>19360</v>
      </c>
      <c r="O43" s="2">
        <f t="shared" si="15"/>
        <v>17600</v>
      </c>
      <c r="P43" s="2">
        <f t="shared" si="13"/>
        <v>13200</v>
      </c>
      <c r="Q43" s="2">
        <f t="shared" si="12"/>
        <v>8800</v>
      </c>
      <c r="R43" s="2">
        <v>0.0</v>
      </c>
      <c r="AB43" s="37">
        <v>5500.0</v>
      </c>
    </row>
    <row r="44" ht="15.75" customHeight="1">
      <c r="G44" s="2">
        <v>22500.0</v>
      </c>
      <c r="K44" s="2">
        <f t="shared" si="11"/>
        <v>22500</v>
      </c>
      <c r="L44" s="2">
        <f t="shared" si="10"/>
        <v>22500</v>
      </c>
      <c r="M44" s="2">
        <f t="shared" si="14"/>
        <v>21375</v>
      </c>
      <c r="N44" s="2">
        <f t="shared" ref="N44:N45" si="16">G44*0.9</f>
        <v>20250</v>
      </c>
      <c r="O44" s="2">
        <f t="shared" si="15"/>
        <v>18000</v>
      </c>
      <c r="P44" s="2">
        <f t="shared" si="13"/>
        <v>13500</v>
      </c>
      <c r="Q44" s="2">
        <f t="shared" si="12"/>
        <v>9000</v>
      </c>
      <c r="R44" s="2">
        <v>0.0</v>
      </c>
      <c r="AB44" s="37">
        <v>5500.0</v>
      </c>
    </row>
    <row r="45" ht="15.75" customHeight="1">
      <c r="E45" s="2" t="s">
        <v>174</v>
      </c>
      <c r="G45" s="2">
        <v>23000.0</v>
      </c>
      <c r="K45" s="2">
        <f t="shared" si="11"/>
        <v>23000</v>
      </c>
      <c r="L45" s="2">
        <f t="shared" si="10"/>
        <v>23000</v>
      </c>
      <c r="M45" s="2">
        <f t="shared" si="14"/>
        <v>21850</v>
      </c>
      <c r="N45" s="2">
        <f t="shared" si="16"/>
        <v>20700</v>
      </c>
      <c r="O45" s="2">
        <f t="shared" si="15"/>
        <v>18400</v>
      </c>
      <c r="P45" s="2">
        <f t="shared" si="13"/>
        <v>13800</v>
      </c>
      <c r="Q45" s="2">
        <f t="shared" si="12"/>
        <v>9200</v>
      </c>
      <c r="R45" s="2">
        <v>0.0</v>
      </c>
      <c r="AB45" s="37">
        <v>5500.0</v>
      </c>
    </row>
    <row r="46" ht="15.75" customHeight="1">
      <c r="AB46" s="37"/>
    </row>
    <row r="47" ht="15.75" customHeight="1">
      <c r="H47" s="2">
        <v>1500.0</v>
      </c>
      <c r="I47" s="2">
        <v>4000.0</v>
      </c>
      <c r="J47" s="2">
        <v>10000.0</v>
      </c>
      <c r="K47" s="2">
        <v>18720.0</v>
      </c>
      <c r="L47" s="2">
        <v>32994.0</v>
      </c>
      <c r="M47" s="2">
        <v>41860.0</v>
      </c>
      <c r="AB47" s="42">
        <v>5000.0</v>
      </c>
    </row>
    <row r="48" ht="15.75" customHeight="1">
      <c r="H48" s="36">
        <v>5000.0</v>
      </c>
      <c r="I48" s="36">
        <v>10000.0</v>
      </c>
      <c r="J48" s="36">
        <v>25000.0</v>
      </c>
      <c r="K48" s="2">
        <v>50000.0</v>
      </c>
      <c r="L48" s="2">
        <v>75000.0</v>
      </c>
      <c r="M48" s="2">
        <v>100000.0</v>
      </c>
      <c r="AB48" s="42">
        <v>5000.0</v>
      </c>
    </row>
    <row r="49" ht="15.75" customHeight="1">
      <c r="G49" s="2">
        <v>2500.0</v>
      </c>
      <c r="H49" s="2">
        <v>2500.0</v>
      </c>
      <c r="I49" s="2">
        <v>2500.0</v>
      </c>
      <c r="J49" s="2">
        <v>2000.0</v>
      </c>
      <c r="K49" s="2">
        <f>G49*0.6</f>
        <v>1500</v>
      </c>
      <c r="L49" s="2">
        <v>0.0</v>
      </c>
      <c r="M49" s="2">
        <v>0.0</v>
      </c>
      <c r="O49" s="2">
        <f t="shared" ref="O49:O68" si="17">M49-G49</f>
        <v>-2500</v>
      </c>
      <c r="P49" s="2">
        <f t="shared" ref="P49:P68" si="18">L49-G49</f>
        <v>-2500</v>
      </c>
      <c r="Q49" s="2">
        <f t="shared" ref="Q49:Q68" si="19">K49-G49</f>
        <v>-1000</v>
      </c>
      <c r="AB49" s="42">
        <v>5000.0</v>
      </c>
    </row>
    <row r="50" ht="15.75" customHeight="1">
      <c r="G50" s="2">
        <v>3000.0</v>
      </c>
      <c r="H50" s="2">
        <v>3000.0</v>
      </c>
      <c r="I50" s="2">
        <v>3000.0</v>
      </c>
      <c r="J50" s="2">
        <v>2500.0</v>
      </c>
      <c r="K50" s="2">
        <f>G50*0.63</f>
        <v>1890</v>
      </c>
      <c r="L50" s="2">
        <v>0.0</v>
      </c>
      <c r="M50" s="2">
        <v>0.0</v>
      </c>
      <c r="O50" s="2">
        <f t="shared" si="17"/>
        <v>-3000</v>
      </c>
      <c r="P50" s="2">
        <f t="shared" si="18"/>
        <v>-3000</v>
      </c>
      <c r="Q50" s="2">
        <f t="shared" si="19"/>
        <v>-1110</v>
      </c>
      <c r="AB50" s="42">
        <v>5000.0</v>
      </c>
    </row>
    <row r="51" ht="15.75" customHeight="1">
      <c r="G51" s="2">
        <v>3500.0</v>
      </c>
      <c r="H51" s="2">
        <v>3500.0</v>
      </c>
      <c r="I51" s="2">
        <v>3500.0</v>
      </c>
      <c r="J51" s="2">
        <v>3000.0</v>
      </c>
      <c r="K51" s="2">
        <f>G51*0.66</f>
        <v>2310</v>
      </c>
      <c r="L51" s="2">
        <v>0.0</v>
      </c>
      <c r="M51" s="2">
        <v>0.0</v>
      </c>
      <c r="O51" s="2">
        <f t="shared" si="17"/>
        <v>-3500</v>
      </c>
      <c r="P51" s="2">
        <f t="shared" si="18"/>
        <v>-3500</v>
      </c>
      <c r="Q51" s="2">
        <f t="shared" si="19"/>
        <v>-1190</v>
      </c>
      <c r="AB51" s="42">
        <v>4500.0</v>
      </c>
    </row>
    <row r="52" ht="15.75" customHeight="1">
      <c r="G52" s="2">
        <v>4000.0</v>
      </c>
      <c r="H52" s="2">
        <v>4000.0</v>
      </c>
      <c r="I52" s="2">
        <v>4000.0</v>
      </c>
      <c r="J52" s="2">
        <v>3500.0</v>
      </c>
      <c r="K52" s="2">
        <f>G52*0.69</f>
        <v>2760</v>
      </c>
      <c r="L52" s="2">
        <v>0.0</v>
      </c>
      <c r="M52" s="2">
        <v>0.0</v>
      </c>
      <c r="O52" s="2">
        <f t="shared" si="17"/>
        <v>-4000</v>
      </c>
      <c r="P52" s="2">
        <f t="shared" si="18"/>
        <v>-4000</v>
      </c>
      <c r="Q52" s="2">
        <f t="shared" si="19"/>
        <v>-1240</v>
      </c>
      <c r="AB52" s="42">
        <v>4500.0</v>
      </c>
    </row>
    <row r="53" ht="15.75" customHeight="1">
      <c r="G53" s="2">
        <v>4500.0</v>
      </c>
      <c r="H53" s="2">
        <v>4500.0</v>
      </c>
      <c r="I53" s="2">
        <v>4500.0</v>
      </c>
      <c r="J53" s="2">
        <v>4000.0</v>
      </c>
      <c r="K53" s="2">
        <f>G53*0.72</f>
        <v>3240</v>
      </c>
      <c r="L53" s="2">
        <f>G53*0.52</f>
        <v>2340</v>
      </c>
      <c r="M53" s="2">
        <v>0.0</v>
      </c>
      <c r="O53" s="2">
        <f t="shared" si="17"/>
        <v>-4500</v>
      </c>
      <c r="P53" s="2">
        <f t="shared" si="18"/>
        <v>-2160</v>
      </c>
      <c r="Q53" s="2">
        <f t="shared" si="19"/>
        <v>-1260</v>
      </c>
      <c r="AB53" s="42">
        <v>4500.0</v>
      </c>
    </row>
    <row r="54" ht="15.75" customHeight="1">
      <c r="G54" s="2">
        <v>5000.0</v>
      </c>
      <c r="H54" s="2">
        <v>5000.0</v>
      </c>
      <c r="I54" s="2">
        <v>5000.0</v>
      </c>
      <c r="J54" s="2">
        <v>4500.0</v>
      </c>
      <c r="K54" s="2">
        <f>G54*0.74</f>
        <v>3700</v>
      </c>
      <c r="L54" s="2">
        <f>G54*0.54</f>
        <v>2700</v>
      </c>
      <c r="M54" s="2">
        <v>0.0</v>
      </c>
      <c r="O54" s="2">
        <f t="shared" si="17"/>
        <v>-5000</v>
      </c>
      <c r="P54" s="2">
        <f t="shared" si="18"/>
        <v>-2300</v>
      </c>
      <c r="Q54" s="2">
        <f t="shared" si="19"/>
        <v>-1300</v>
      </c>
      <c r="AB54" s="42">
        <v>4000.0</v>
      </c>
    </row>
    <row r="55" ht="15.75" customHeight="1">
      <c r="G55" s="2">
        <v>5500.0</v>
      </c>
      <c r="H55" s="2">
        <v>5500.0</v>
      </c>
      <c r="I55" s="2">
        <v>5500.0</v>
      </c>
      <c r="J55" s="2">
        <v>5000.0</v>
      </c>
      <c r="K55" s="2">
        <f>G55*0.76</f>
        <v>4180</v>
      </c>
      <c r="L55" s="2">
        <f>G55*0.56</f>
        <v>3080</v>
      </c>
      <c r="M55" s="2">
        <f>G55*0.38</f>
        <v>2090</v>
      </c>
      <c r="O55" s="2">
        <f t="shared" si="17"/>
        <v>-3410</v>
      </c>
      <c r="P55" s="2">
        <f t="shared" si="18"/>
        <v>-2420</v>
      </c>
      <c r="Q55" s="2">
        <f t="shared" si="19"/>
        <v>-1320</v>
      </c>
      <c r="AB55" s="42">
        <v>4000.0</v>
      </c>
    </row>
    <row r="56" ht="15.75" customHeight="1">
      <c r="G56" s="2">
        <v>6000.0</v>
      </c>
      <c r="H56" s="2">
        <v>6000.0</v>
      </c>
      <c r="I56" s="2">
        <v>6000.0</v>
      </c>
      <c r="J56" s="2">
        <v>5500.0</v>
      </c>
      <c r="K56" s="2">
        <f>G56*0.78</f>
        <v>4680</v>
      </c>
      <c r="L56" s="2">
        <f>G56*0.58</f>
        <v>3480</v>
      </c>
      <c r="M56" s="2">
        <f>G56*0.41</f>
        <v>2460</v>
      </c>
      <c r="O56" s="2">
        <f t="shared" si="17"/>
        <v>-3540</v>
      </c>
      <c r="P56" s="2">
        <f t="shared" si="18"/>
        <v>-2520</v>
      </c>
      <c r="Q56" s="2">
        <f t="shared" si="19"/>
        <v>-1320</v>
      </c>
      <c r="AB56" s="42">
        <v>4000.0</v>
      </c>
    </row>
    <row r="57" ht="15.75" customHeight="1">
      <c r="G57" s="2">
        <v>6500.0</v>
      </c>
      <c r="H57" s="2">
        <v>6500.0</v>
      </c>
      <c r="I57" s="2">
        <v>6500.0</v>
      </c>
      <c r="J57" s="2">
        <v>6000.0</v>
      </c>
      <c r="K57" s="36">
        <f>G57*0.79</f>
        <v>5135</v>
      </c>
      <c r="L57" s="36">
        <f>G57*0.6</f>
        <v>3900</v>
      </c>
      <c r="M57" s="36">
        <f>G57*0.43</f>
        <v>2795</v>
      </c>
      <c r="N57" s="36"/>
      <c r="O57" s="2">
        <f t="shared" si="17"/>
        <v>-3705</v>
      </c>
      <c r="P57" s="2">
        <f t="shared" si="18"/>
        <v>-2600</v>
      </c>
      <c r="Q57" s="2">
        <f t="shared" si="19"/>
        <v>-1365</v>
      </c>
      <c r="AB57" s="42">
        <v>4000.0</v>
      </c>
    </row>
    <row r="58" ht="15.75" customHeight="1">
      <c r="G58" s="2">
        <v>7000.0</v>
      </c>
      <c r="H58" s="2">
        <v>7000.0</v>
      </c>
      <c r="I58" s="2">
        <v>7000.0</v>
      </c>
      <c r="J58" s="2">
        <v>6500.0</v>
      </c>
      <c r="K58" s="39">
        <f>G58*0.8</f>
        <v>5600</v>
      </c>
      <c r="L58" s="39">
        <f>G58*0.61</f>
        <v>4270</v>
      </c>
      <c r="M58" s="39">
        <f>G58*0.45</f>
        <v>3150</v>
      </c>
      <c r="N58" s="39"/>
      <c r="O58" s="2">
        <f t="shared" si="17"/>
        <v>-3850</v>
      </c>
      <c r="P58" s="2">
        <f t="shared" si="18"/>
        <v>-2730</v>
      </c>
      <c r="Q58" s="2">
        <f t="shared" si="19"/>
        <v>-1400</v>
      </c>
      <c r="AB58" s="42">
        <v>4000.0</v>
      </c>
    </row>
    <row r="59" ht="15.75" customHeight="1">
      <c r="G59" s="2">
        <v>7500.0</v>
      </c>
      <c r="H59" s="2">
        <v>7500.0</v>
      </c>
      <c r="I59" s="2">
        <v>7500.0</v>
      </c>
      <c r="J59" s="2">
        <v>7000.0</v>
      </c>
      <c r="K59" s="39">
        <f>G59*0.81</f>
        <v>6075</v>
      </c>
      <c r="L59" s="39">
        <f>G59*0.62</f>
        <v>4650</v>
      </c>
      <c r="M59" s="39">
        <f>G59*0.47</f>
        <v>3525</v>
      </c>
      <c r="N59" s="39"/>
      <c r="O59" s="2">
        <f t="shared" si="17"/>
        <v>-3975</v>
      </c>
      <c r="P59" s="2">
        <f t="shared" si="18"/>
        <v>-2850</v>
      </c>
      <c r="Q59" s="2">
        <f t="shared" si="19"/>
        <v>-1425</v>
      </c>
      <c r="AB59" s="42">
        <v>4000.0</v>
      </c>
    </row>
    <row r="60" ht="15.75" customHeight="1">
      <c r="G60" s="2">
        <v>8000.0</v>
      </c>
      <c r="H60" s="2">
        <v>8000.0</v>
      </c>
      <c r="I60" s="2">
        <v>8000.0</v>
      </c>
      <c r="J60" s="2">
        <v>7500.0</v>
      </c>
      <c r="K60" s="39">
        <f>G60*0.82</f>
        <v>6560</v>
      </c>
      <c r="L60" s="39">
        <f>G60*0.63</f>
        <v>5040</v>
      </c>
      <c r="M60" s="39">
        <f>G60*0.49</f>
        <v>3920</v>
      </c>
      <c r="N60" s="39"/>
      <c r="O60" s="2">
        <f t="shared" si="17"/>
        <v>-4080</v>
      </c>
      <c r="P60" s="2">
        <f t="shared" si="18"/>
        <v>-2960</v>
      </c>
      <c r="Q60" s="2">
        <f t="shared" si="19"/>
        <v>-1440</v>
      </c>
      <c r="AB60" s="42">
        <v>3500.0</v>
      </c>
    </row>
    <row r="61" ht="15.75" customHeight="1">
      <c r="G61" s="2">
        <v>8500.0</v>
      </c>
      <c r="H61" s="2">
        <v>8500.0</v>
      </c>
      <c r="I61" s="2">
        <v>8500.0</v>
      </c>
      <c r="J61" s="2">
        <v>8000.0</v>
      </c>
      <c r="K61" s="2">
        <f>G61*0.83</f>
        <v>7055</v>
      </c>
      <c r="L61" s="2">
        <f>G61*0.64</f>
        <v>5440</v>
      </c>
      <c r="M61" s="2">
        <f>G61*0.51</f>
        <v>4335</v>
      </c>
      <c r="O61" s="2">
        <f t="shared" si="17"/>
        <v>-4165</v>
      </c>
      <c r="P61" s="2">
        <f t="shared" si="18"/>
        <v>-3060</v>
      </c>
      <c r="Q61" s="2">
        <f t="shared" si="19"/>
        <v>-1445</v>
      </c>
      <c r="AB61" s="42">
        <v>3500.0</v>
      </c>
    </row>
    <row r="62" ht="15.75" customHeight="1">
      <c r="G62" s="2">
        <v>9000.0</v>
      </c>
      <c r="H62" s="2">
        <v>9000.0</v>
      </c>
      <c r="I62" s="2">
        <v>9000.0</v>
      </c>
      <c r="J62" s="2">
        <v>8500.0</v>
      </c>
      <c r="K62" s="2">
        <f>G62*0.84</f>
        <v>7560</v>
      </c>
      <c r="L62" s="2">
        <f>G62*0.65</f>
        <v>5850</v>
      </c>
      <c r="M62" s="2">
        <f>G62*0.53</f>
        <v>4770</v>
      </c>
      <c r="O62" s="2">
        <f t="shared" si="17"/>
        <v>-4230</v>
      </c>
      <c r="P62" s="2">
        <f t="shared" si="18"/>
        <v>-3150</v>
      </c>
      <c r="Q62" s="2">
        <f t="shared" si="19"/>
        <v>-1440</v>
      </c>
      <c r="AB62" s="43">
        <v>3000.0</v>
      </c>
    </row>
    <row r="63" ht="15.75" customHeight="1">
      <c r="G63" s="2">
        <v>9500.0</v>
      </c>
      <c r="H63" s="2">
        <v>9500.0</v>
      </c>
      <c r="I63" s="2">
        <v>9500.0</v>
      </c>
      <c r="J63" s="2">
        <v>9000.0</v>
      </c>
      <c r="K63" s="2">
        <f>G63*0.85</f>
        <v>8075</v>
      </c>
      <c r="L63" s="2">
        <f>G63*0.66</f>
        <v>6270</v>
      </c>
      <c r="M63" s="2">
        <f>G63*0.55</f>
        <v>5225</v>
      </c>
      <c r="O63" s="2">
        <f t="shared" si="17"/>
        <v>-4275</v>
      </c>
      <c r="P63" s="2">
        <f t="shared" si="18"/>
        <v>-3230</v>
      </c>
      <c r="Q63" s="2">
        <f t="shared" si="19"/>
        <v>-1425</v>
      </c>
      <c r="AB63" s="43">
        <v>3000.0</v>
      </c>
    </row>
    <row r="64" ht="15.75" customHeight="1">
      <c r="G64" s="2">
        <v>10000.0</v>
      </c>
      <c r="H64" s="2">
        <v>10000.0</v>
      </c>
      <c r="I64" s="2">
        <v>10000.0</v>
      </c>
      <c r="J64" s="2">
        <v>9500.0</v>
      </c>
      <c r="K64" s="2">
        <f t="shared" ref="K64:K68" si="20">G64*0.9</f>
        <v>9000</v>
      </c>
      <c r="L64" s="2">
        <f>G64*0.67</f>
        <v>6700</v>
      </c>
      <c r="M64" s="2">
        <f>G64*0.57</f>
        <v>5700</v>
      </c>
      <c r="O64" s="2">
        <f t="shared" si="17"/>
        <v>-4300</v>
      </c>
      <c r="P64" s="2">
        <f t="shared" si="18"/>
        <v>-3300</v>
      </c>
      <c r="Q64" s="2">
        <f t="shared" si="19"/>
        <v>-1000</v>
      </c>
      <c r="AB64" s="43">
        <v>3000.0</v>
      </c>
    </row>
    <row r="65" ht="15.75" customHeight="1">
      <c r="G65" s="2">
        <v>10500.0</v>
      </c>
      <c r="H65" s="2">
        <v>10500.0</v>
      </c>
      <c r="I65" s="2">
        <v>10500.0</v>
      </c>
      <c r="J65" s="2">
        <v>10000.0</v>
      </c>
      <c r="K65" s="2">
        <f t="shared" si="20"/>
        <v>9450</v>
      </c>
      <c r="L65" s="2">
        <f>G65*0.68</f>
        <v>7140</v>
      </c>
      <c r="M65" s="2">
        <f>G65*0.58</f>
        <v>6090</v>
      </c>
      <c r="O65" s="2">
        <f t="shared" si="17"/>
        <v>-4410</v>
      </c>
      <c r="P65" s="2">
        <f t="shared" si="18"/>
        <v>-3360</v>
      </c>
      <c r="Q65" s="2">
        <f t="shared" si="19"/>
        <v>-1050</v>
      </c>
      <c r="AB65" s="43">
        <v>2800.0</v>
      </c>
    </row>
    <row r="66" ht="15.75" customHeight="1">
      <c r="G66" s="2">
        <v>11000.0</v>
      </c>
      <c r="H66" s="2">
        <v>11000.0</v>
      </c>
      <c r="I66" s="2">
        <v>11000.0</v>
      </c>
      <c r="J66" s="2">
        <v>10500.0</v>
      </c>
      <c r="K66" s="2">
        <f t="shared" si="20"/>
        <v>9900</v>
      </c>
      <c r="L66" s="2">
        <f>G66*0.69</f>
        <v>7590</v>
      </c>
      <c r="M66" s="2">
        <f>G66*0.585</f>
        <v>6435</v>
      </c>
      <c r="O66" s="2">
        <f t="shared" si="17"/>
        <v>-4565</v>
      </c>
      <c r="P66" s="2">
        <f t="shared" si="18"/>
        <v>-3410</v>
      </c>
      <c r="Q66" s="2">
        <f t="shared" si="19"/>
        <v>-1100</v>
      </c>
      <c r="AB66" s="43">
        <v>2600.0</v>
      </c>
    </row>
    <row r="67" ht="15.75" customHeight="1">
      <c r="G67" s="2">
        <v>11500.0</v>
      </c>
      <c r="H67" s="2">
        <v>11500.0</v>
      </c>
      <c r="I67" s="2">
        <v>11500.0</v>
      </c>
      <c r="J67" s="2">
        <v>11000.0</v>
      </c>
      <c r="K67" s="2">
        <f t="shared" si="20"/>
        <v>10350</v>
      </c>
      <c r="L67" s="2">
        <f t="shared" ref="L67:L68" si="21">G67*0.7</f>
        <v>8050</v>
      </c>
      <c r="M67" s="2">
        <f>G67*0.59</f>
        <v>6785</v>
      </c>
      <c r="O67" s="2">
        <f t="shared" si="17"/>
        <v>-4715</v>
      </c>
      <c r="P67" s="2">
        <f t="shared" si="18"/>
        <v>-3450</v>
      </c>
      <c r="Q67" s="2">
        <f t="shared" si="19"/>
        <v>-1150</v>
      </c>
      <c r="AB67" s="43">
        <v>2500.0</v>
      </c>
    </row>
    <row r="68" ht="15.75" customHeight="1">
      <c r="G68" s="2">
        <v>12000.0</v>
      </c>
      <c r="H68" s="2">
        <v>12000.0</v>
      </c>
      <c r="I68" s="2">
        <v>12000.0</v>
      </c>
      <c r="J68" s="2">
        <v>11500.0</v>
      </c>
      <c r="K68" s="2">
        <f t="shared" si="20"/>
        <v>10800</v>
      </c>
      <c r="L68" s="2">
        <f t="shared" si="21"/>
        <v>8400</v>
      </c>
      <c r="M68" s="2">
        <f>G68*0.6</f>
        <v>7200</v>
      </c>
      <c r="O68" s="2">
        <f t="shared" si="17"/>
        <v>-4800</v>
      </c>
      <c r="P68" s="2">
        <f t="shared" si="18"/>
        <v>-3600</v>
      </c>
      <c r="Q68" s="2">
        <f t="shared" si="19"/>
        <v>-1200</v>
      </c>
      <c r="AB68" s="43">
        <v>2500.0</v>
      </c>
    </row>
    <row r="69" ht="15.75" customHeight="1">
      <c r="AB69" s="43">
        <v>2500.0</v>
      </c>
    </row>
    <row r="70" ht="15.75" customHeight="1">
      <c r="AB70" s="43">
        <v>2500.0</v>
      </c>
    </row>
    <row r="71" ht="15.75" customHeight="1">
      <c r="AB71" s="43">
        <v>2500.0</v>
      </c>
    </row>
    <row r="72" ht="15.75" customHeight="1">
      <c r="AB72" s="43">
        <v>2500.0</v>
      </c>
    </row>
    <row r="73" ht="15.75" customHeight="1">
      <c r="AB73" s="43">
        <v>2300.0</v>
      </c>
    </row>
    <row r="74" ht="15.75" customHeight="1">
      <c r="AB74" s="44">
        <v>2300.0</v>
      </c>
    </row>
    <row r="75" ht="15.75" customHeight="1">
      <c r="AB75" s="45">
        <v>2000.0</v>
      </c>
    </row>
    <row r="76" ht="15.75" customHeight="1">
      <c r="AB76" s="45">
        <v>2000.0</v>
      </c>
    </row>
    <row r="77" ht="15.75" customHeight="1">
      <c r="AB77" s="45">
        <v>2000.0</v>
      </c>
    </row>
    <row r="78" ht="15.75" customHeight="1">
      <c r="AB78" s="45">
        <v>2000.0</v>
      </c>
    </row>
    <row r="79" ht="15.75" customHeight="1">
      <c r="AB79" s="45">
        <v>2000.0</v>
      </c>
    </row>
    <row r="80" ht="15.75" customHeight="1">
      <c r="AB80" s="45">
        <v>2000.0</v>
      </c>
    </row>
    <row r="81" ht="15.75" customHeight="1">
      <c r="AB81" s="45">
        <v>2000.0</v>
      </c>
    </row>
    <row r="82" ht="15.75" customHeight="1">
      <c r="AB82" s="45">
        <v>2000.0</v>
      </c>
    </row>
    <row r="83" ht="15.75" customHeight="1">
      <c r="AB83" s="45">
        <v>2000.0</v>
      </c>
    </row>
    <row r="84" ht="15.75" customHeight="1">
      <c r="AB84" s="45">
        <v>1700.0</v>
      </c>
    </row>
    <row r="85" ht="15.75" customHeight="1">
      <c r="AB85" s="45">
        <v>1600.0</v>
      </c>
    </row>
    <row r="86" ht="15.75" customHeight="1">
      <c r="AB86" s="45">
        <v>1600.0</v>
      </c>
    </row>
    <row r="87" ht="15.75" customHeight="1">
      <c r="AB87" s="45">
        <v>1500.0</v>
      </c>
    </row>
    <row r="88" ht="15.75" customHeight="1">
      <c r="AB88" s="45">
        <v>1500.0</v>
      </c>
    </row>
    <row r="89" ht="15.75" customHeight="1">
      <c r="AB89" s="45">
        <v>1500.0</v>
      </c>
    </row>
    <row r="90" ht="15.75" customHeight="1">
      <c r="AB90" s="45">
        <v>1500.0</v>
      </c>
    </row>
    <row r="91" ht="15.75" customHeight="1">
      <c r="AB91" s="45">
        <v>1500.0</v>
      </c>
    </row>
    <row r="92" ht="15.75" customHeight="1">
      <c r="AB92" s="45">
        <v>1500.0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K2" s="2">
        <v>4.0</v>
      </c>
      <c r="L2" s="2">
        <v>6.0</v>
      </c>
      <c r="M2" s="2">
        <v>8.0</v>
      </c>
      <c r="N2" s="2">
        <v>10.0</v>
      </c>
      <c r="O2" s="2">
        <v>12.0</v>
      </c>
      <c r="P2" s="2">
        <v>12.0</v>
      </c>
      <c r="Q2" s="2">
        <v>12.0</v>
      </c>
    </row>
    <row r="4">
      <c r="H4" s="36">
        <v>5000.0</v>
      </c>
      <c r="I4" s="36">
        <v>10000.0</v>
      </c>
      <c r="J4" s="36">
        <v>25000.0</v>
      </c>
      <c r="K4" s="2">
        <v>50000.0</v>
      </c>
      <c r="L4" s="2">
        <v>75000.0</v>
      </c>
      <c r="M4" s="2">
        <v>100000.0</v>
      </c>
      <c r="N4" s="2">
        <v>150000.0</v>
      </c>
      <c r="O4" s="2">
        <v>200000.0</v>
      </c>
      <c r="P4" s="2" t="s">
        <v>11</v>
      </c>
      <c r="Q4" s="2" t="s">
        <v>12</v>
      </c>
      <c r="R4" s="2" t="s">
        <v>179</v>
      </c>
    </row>
    <row r="5">
      <c r="H5" s="36"/>
      <c r="I5" s="36"/>
      <c r="J5" s="36"/>
    </row>
    <row r="6">
      <c r="H6" s="36"/>
      <c r="I6" s="36"/>
      <c r="J6" s="36"/>
    </row>
    <row r="7">
      <c r="H7" s="36">
        <f t="shared" ref="H7:J7" si="1">H8*0.5</f>
        <v>1500</v>
      </c>
      <c r="I7" s="36">
        <f t="shared" si="1"/>
        <v>4000</v>
      </c>
      <c r="J7" s="36">
        <f t="shared" si="1"/>
        <v>10000</v>
      </c>
      <c r="K7" s="2">
        <f>K8*0.52*0.96</f>
        <v>18720</v>
      </c>
      <c r="L7" s="2">
        <f>L8*0.52*0.94</f>
        <v>32994</v>
      </c>
      <c r="M7" s="2">
        <f>M8*0.52*0.92</f>
        <v>41860</v>
      </c>
      <c r="N7" s="2">
        <f>N8*0.52*0.9</f>
        <v>58500</v>
      </c>
      <c r="O7" s="2">
        <f t="shared" ref="O7:R7" si="2">O8*0.52*0.88</f>
        <v>800800</v>
      </c>
      <c r="P7" s="2">
        <f t="shared" si="2"/>
        <v>102960</v>
      </c>
      <c r="Q7" s="2">
        <f t="shared" si="2"/>
        <v>125840</v>
      </c>
      <c r="R7" s="2">
        <f t="shared" si="2"/>
        <v>141856</v>
      </c>
    </row>
    <row r="8">
      <c r="H8" s="36">
        <v>3000.0</v>
      </c>
      <c r="I8" s="36">
        <f>10000*0.8</f>
        <v>8000</v>
      </c>
      <c r="J8" s="36">
        <f>25000*0.8</f>
        <v>20000</v>
      </c>
      <c r="K8" s="2">
        <v>37500.0</v>
      </c>
      <c r="L8" s="2">
        <v>67500.0</v>
      </c>
      <c r="M8" s="2">
        <v>87500.0</v>
      </c>
      <c r="N8" s="2">
        <v>125000.0</v>
      </c>
      <c r="O8" s="2">
        <v>1750000.0</v>
      </c>
      <c r="P8" s="2">
        <v>225000.0</v>
      </c>
      <c r="Q8" s="2">
        <v>275000.0</v>
      </c>
      <c r="R8" s="2">
        <v>310000.0</v>
      </c>
    </row>
    <row r="9">
      <c r="G9" s="2">
        <v>5000.0</v>
      </c>
      <c r="K9" s="2">
        <v>0.8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</row>
    <row r="10">
      <c r="G10" s="2">
        <v>5500.0</v>
      </c>
      <c r="K10" s="2">
        <v>0.8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</row>
    <row r="11">
      <c r="G11" s="2">
        <v>6000.0</v>
      </c>
      <c r="K11" s="2">
        <v>0.8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</row>
    <row r="12">
      <c r="G12" s="2">
        <v>6500.0</v>
      </c>
      <c r="K12" s="2">
        <v>0.8</v>
      </c>
      <c r="O12" s="2">
        <v>0.0</v>
      </c>
      <c r="P12" s="2">
        <v>0.0</v>
      </c>
      <c r="Q12" s="2">
        <v>0.0</v>
      </c>
      <c r="R12" s="2">
        <v>0.0</v>
      </c>
    </row>
    <row r="13">
      <c r="G13" s="2">
        <v>7000.0</v>
      </c>
      <c r="K13" s="2">
        <v>0.8</v>
      </c>
      <c r="O13" s="2">
        <v>0.0</v>
      </c>
      <c r="P13" s="2">
        <v>0.0</v>
      </c>
      <c r="Q13" s="2">
        <v>0.0</v>
      </c>
      <c r="R13" s="2">
        <v>0.0</v>
      </c>
    </row>
    <row r="14">
      <c r="G14" s="2">
        <v>7500.0</v>
      </c>
      <c r="K14" s="2">
        <v>0.85</v>
      </c>
      <c r="O14" s="2">
        <v>0.0</v>
      </c>
      <c r="P14" s="2">
        <v>0.0</v>
      </c>
      <c r="Q14" s="2">
        <v>0.0</v>
      </c>
      <c r="R14" s="2">
        <v>0.0</v>
      </c>
    </row>
    <row r="15">
      <c r="G15" s="2">
        <v>8000.0</v>
      </c>
      <c r="K15" s="2">
        <v>0.85</v>
      </c>
      <c r="O15" s="2">
        <v>0.0</v>
      </c>
      <c r="P15" s="2">
        <v>0.0</v>
      </c>
      <c r="Q15" s="2">
        <v>0.0</v>
      </c>
      <c r="R15" s="2">
        <v>0.0</v>
      </c>
    </row>
    <row r="16">
      <c r="G16" s="2">
        <v>8500.0</v>
      </c>
      <c r="K16" s="2">
        <v>0.85</v>
      </c>
      <c r="O16" s="2">
        <v>0.0</v>
      </c>
      <c r="P16" s="2">
        <v>0.0</v>
      </c>
      <c r="Q16" s="2">
        <v>0.0</v>
      </c>
      <c r="R16" s="2">
        <v>0.0</v>
      </c>
    </row>
    <row r="17">
      <c r="G17" s="2">
        <v>9000.0</v>
      </c>
      <c r="K17" s="2">
        <v>0.85</v>
      </c>
      <c r="P17" s="2">
        <v>0.0</v>
      </c>
      <c r="Q17" s="2">
        <v>0.0</v>
      </c>
      <c r="R17" s="2">
        <v>0.0</v>
      </c>
    </row>
    <row r="18">
      <c r="G18" s="2">
        <v>9500.0</v>
      </c>
      <c r="K18" s="2">
        <v>0.85</v>
      </c>
      <c r="P18" s="2">
        <v>0.0</v>
      </c>
      <c r="Q18" s="2">
        <v>0.0</v>
      </c>
      <c r="R18" s="2">
        <v>0.0</v>
      </c>
    </row>
    <row r="19">
      <c r="G19" s="2">
        <v>10000.0</v>
      </c>
      <c r="K19" s="2">
        <v>0.9</v>
      </c>
      <c r="P19" s="2">
        <v>0.0</v>
      </c>
      <c r="Q19" s="2">
        <v>0.0</v>
      </c>
      <c r="R19" s="2">
        <v>0.0</v>
      </c>
    </row>
    <row r="20">
      <c r="G20" s="2">
        <v>10500.0</v>
      </c>
      <c r="K20" s="2">
        <v>0.9</v>
      </c>
      <c r="P20" s="2">
        <v>0.0</v>
      </c>
      <c r="Q20" s="2">
        <v>0.0</v>
      </c>
      <c r="R20" s="2">
        <v>0.0</v>
      </c>
    </row>
    <row r="21" ht="15.75" customHeight="1">
      <c r="G21" s="2">
        <v>11000.0</v>
      </c>
      <c r="K21" s="2">
        <v>0.9</v>
      </c>
      <c r="P21" s="2">
        <v>0.0</v>
      </c>
      <c r="Q21" s="2">
        <v>0.0</v>
      </c>
      <c r="R21" s="2">
        <v>0.0</v>
      </c>
    </row>
    <row r="22" ht="15.75" customHeight="1">
      <c r="G22" s="2">
        <v>11500.0</v>
      </c>
      <c r="K22" s="2">
        <v>0.9</v>
      </c>
      <c r="P22" s="2">
        <v>0.0</v>
      </c>
      <c r="Q22" s="2">
        <v>0.0</v>
      </c>
      <c r="R22" s="2">
        <v>0.0</v>
      </c>
    </row>
    <row r="23" ht="15.75" customHeight="1">
      <c r="G23" s="2">
        <v>12000.0</v>
      </c>
      <c r="K23" s="2">
        <v>0.9</v>
      </c>
      <c r="Q23" s="2">
        <v>0.0</v>
      </c>
      <c r="R23" s="2">
        <v>0.0</v>
      </c>
    </row>
    <row r="24" ht="15.75" customHeight="1">
      <c r="G24" s="2">
        <v>12500.0</v>
      </c>
      <c r="K24" s="2">
        <v>0.95</v>
      </c>
      <c r="Q24" s="2">
        <v>0.0</v>
      </c>
      <c r="R24" s="2">
        <v>0.0</v>
      </c>
    </row>
    <row r="25" ht="15.75" customHeight="1">
      <c r="G25" s="2">
        <v>13000.0</v>
      </c>
      <c r="K25" s="2">
        <v>0.95</v>
      </c>
      <c r="Q25" s="2">
        <v>0.0</v>
      </c>
      <c r="R25" s="2">
        <v>0.0</v>
      </c>
    </row>
    <row r="26" ht="15.75" customHeight="1">
      <c r="G26" s="2">
        <v>13500.0</v>
      </c>
      <c r="K26" s="2">
        <v>0.95</v>
      </c>
      <c r="Q26" s="2">
        <v>0.0</v>
      </c>
      <c r="R26" s="2">
        <v>0.0</v>
      </c>
    </row>
    <row r="27" ht="15.75" customHeight="1">
      <c r="G27" s="2">
        <v>14000.0</v>
      </c>
      <c r="K27" s="2">
        <v>0.95</v>
      </c>
      <c r="Q27" s="2">
        <v>0.0</v>
      </c>
      <c r="R27" s="2">
        <v>0.0</v>
      </c>
    </row>
    <row r="28" ht="15.75" customHeight="1">
      <c r="G28" s="2">
        <v>14500.0</v>
      </c>
      <c r="K28" s="2">
        <v>0.95</v>
      </c>
      <c r="Q28" s="2">
        <v>0.0</v>
      </c>
      <c r="R28" s="2">
        <v>0.0</v>
      </c>
    </row>
    <row r="29" ht="15.75" customHeight="1">
      <c r="G29" s="2">
        <v>15000.0</v>
      </c>
      <c r="K29" s="2">
        <v>1.0</v>
      </c>
      <c r="Q29" s="2">
        <v>0.0</v>
      </c>
      <c r="R29" s="2">
        <v>0.0</v>
      </c>
    </row>
    <row r="30" ht="15.75" customHeight="1">
      <c r="G30" s="2">
        <v>15500.0</v>
      </c>
      <c r="K30" s="2">
        <v>1.0</v>
      </c>
      <c r="R30" s="2">
        <v>0.0</v>
      </c>
    </row>
    <row r="31" ht="15.75" customHeight="1">
      <c r="G31" s="2">
        <v>16000.0</v>
      </c>
      <c r="K31" s="2">
        <v>1.0</v>
      </c>
      <c r="R31" s="2">
        <v>0.0</v>
      </c>
    </row>
    <row r="32" ht="15.75" customHeight="1">
      <c r="G32" s="2">
        <v>16500.0</v>
      </c>
      <c r="K32" s="2">
        <v>1.0</v>
      </c>
      <c r="R32" s="2">
        <v>0.0</v>
      </c>
    </row>
    <row r="33" ht="15.75" customHeight="1">
      <c r="G33" s="2">
        <v>17000.0</v>
      </c>
      <c r="K33" s="2">
        <v>1.0</v>
      </c>
      <c r="R33" s="2">
        <v>0.0</v>
      </c>
    </row>
    <row r="34" ht="15.75" customHeight="1">
      <c r="G34" s="2">
        <v>17500.0</v>
      </c>
      <c r="K34" s="2">
        <v>1.0</v>
      </c>
      <c r="R34" s="2">
        <v>0.0</v>
      </c>
    </row>
    <row r="35" ht="15.75" customHeight="1">
      <c r="G35" s="2">
        <v>18000.0</v>
      </c>
      <c r="K35" s="2">
        <v>1.0</v>
      </c>
      <c r="R35" s="2">
        <v>0.0</v>
      </c>
    </row>
    <row r="36" ht="15.75" customHeight="1">
      <c r="G36" s="2">
        <v>18500.0</v>
      </c>
      <c r="K36" s="2">
        <v>1.0</v>
      </c>
      <c r="R36" s="2">
        <v>0.0</v>
      </c>
    </row>
    <row r="37" ht="15.75" customHeight="1">
      <c r="G37" s="2">
        <v>19000.0</v>
      </c>
      <c r="K37" s="2">
        <v>1.0</v>
      </c>
      <c r="R37" s="2">
        <v>0.0</v>
      </c>
    </row>
    <row r="38" ht="15.75" customHeight="1">
      <c r="G38" s="2">
        <v>19500.0</v>
      </c>
      <c r="K38" s="2">
        <v>1.0</v>
      </c>
      <c r="R38" s="2">
        <v>0.0</v>
      </c>
    </row>
    <row r="39" ht="15.75" customHeight="1">
      <c r="G39" s="2">
        <v>20000.0</v>
      </c>
      <c r="K39" s="2">
        <v>1.0</v>
      </c>
      <c r="R39" s="2">
        <v>0.0</v>
      </c>
    </row>
    <row r="40" ht="15.75" customHeight="1">
      <c r="G40" s="2">
        <v>20500.0</v>
      </c>
      <c r="K40" s="2">
        <v>1.0</v>
      </c>
      <c r="R40" s="2">
        <v>0.0</v>
      </c>
    </row>
    <row r="41" ht="15.75" customHeight="1">
      <c r="G41" s="2">
        <v>21000.0</v>
      </c>
      <c r="K41" s="2">
        <v>1.0</v>
      </c>
      <c r="R41" s="2">
        <v>0.0</v>
      </c>
    </row>
    <row r="42" ht="15.75" customHeight="1">
      <c r="G42" s="2">
        <v>21500.0</v>
      </c>
      <c r="K42" s="2">
        <v>1.0</v>
      </c>
      <c r="R42" s="2">
        <v>0.0</v>
      </c>
    </row>
    <row r="43" ht="15.75" customHeight="1">
      <c r="G43" s="2">
        <v>22000.0</v>
      </c>
      <c r="K43" s="2">
        <v>1.0</v>
      </c>
      <c r="R43" s="2">
        <v>0.0</v>
      </c>
    </row>
    <row r="44" ht="15.75" customHeight="1">
      <c r="G44" s="2">
        <v>22500.0</v>
      </c>
      <c r="K44" s="2">
        <v>1.0</v>
      </c>
      <c r="R44" s="2">
        <v>0.0</v>
      </c>
    </row>
    <row r="45" ht="15.75" customHeight="1">
      <c r="G45" s="2">
        <v>23000.0</v>
      </c>
      <c r="K45" s="2">
        <v>1.0</v>
      </c>
      <c r="R45" s="2">
        <v>0.0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